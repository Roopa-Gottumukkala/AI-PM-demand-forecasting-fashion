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Macro_Data" sheetId="2" state="visible" r:id="rId4"/>
    <sheet name="02_SKU_Sales_Data" sheetId="3" state="visible" r:id="rId5"/>
    <sheet name="03_Inputs_Assumptions" sheetId="4" state="visible" r:id="rId6"/>
    <sheet name="04_Baseline_PnL" sheetId="5" state="visible" r:id="rId7"/>
    <sheet name="05_Forecast_Backtest" sheetId="6" state="visible" r:id="rId8"/>
    <sheet name="06_MonteCarlo_Simulation" sheetId="7" state="visible" r:id="rId9"/>
    <sheet name="07_Decision_Matrix" sheetId="8" state="visible" r:id="rId10"/>
    <sheet name="08_Scoring_Rationale" sheetId="9" state="visible" r:id="rId11"/>
    <sheet name="09_Second_Order_Effects" sheetId="10" state="visible" r:id="rId12"/>
    <sheet name="10_Buffer_Stock_Econ" sheetId="11" state="visible" r:id="rId13"/>
    <sheet name="11_Dual_Sourcing_Econ" sheetId="12" state="visible" r:id="rId14"/>
    <sheet name="12_Sensitivity" sheetId="13" state="visible" r:id="rId15"/>
    <sheet name="13_Multiple_Interpretation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<sst xmlns="http://schemas.openxmlformats.org/spreadsheetml/2006/main" count="1762" uniqueCount="413">
  <si>
    <t xml:space="preserve">Project 1 — NorthPeak Apparel: Demand Forecasting &amp; Freight-Disruption Resilience</t>
  </si>
  <si>
    <t xml:space="preserve">SINGLE-WORKBOOK, FORMULA-DRIVEN EDITION</t>
  </si>
  <si>
    <t xml:space="preserve">HOW THIS WORKBOOK IS BUILT</t>
  </si>
  <si>
    <t xml:space="preserve">- Sheets prefixed 01_ and 02_ are RAW DATA (real sourced macro data, and the 50-SKU-family synthetic sales master table).</t>
  </si>
  <si>
    <t xml:space="preserve">- Every sheet after that is a LIVE FORMULA layer: Baseline P&amp;L, the Monte Carlo simulation, the Decision Matrix, Buffer Stock</t>
  </si>
  <si>
    <t xml:space="preserve">  economics, and Dual-Sourcing breakeven all reference the data sheets directly via cell formulas (SUMPRODUCT, AVERAGEIF,</t>
  </si>
  <si>
    <t xml:space="preserve">  INDEX/MATCH, RAND-based simulation, PERCENTILE.INC) — nothing downstream of the data sheets is a pasted number.</t>
  </si>
  <si>
    <t xml:space="preserve">- YELLOW cells = raw data or editable assumption inputs. BLUE cells = live formulas. Change a yellow cell and the blue</t>
  </si>
  <si>
    <t xml:space="preserve">  cells recalculate — that's the point: you can stress-test any assumption yourself.</t>
  </si>
  <si>
    <t xml:space="preserve">- The Monte Carlo sheet runs a REAL in-Excel simulation (RAND() + NORM.S.INV() trial rows, summarized with</t>
  </si>
  <si>
    <t xml:space="preserve">  PERCENTILE.INC) — it recalculates a fresh random draw every time the workbook opens or you press F9/Ctrl+Alt+F9.</t>
  </si>
  <si>
    <t xml:space="preserve">  Values will shift slightly run to run — that is expected Monte Carlo behavior, not an error.</t>
  </si>
  <si>
    <t xml:space="preserve">SHEET INDEX</t>
  </si>
  <si>
    <t xml:space="preserve">01_Macro_Data — real, sourced freight (Drewry WCI) and cotton (ICE futures) monthly data, 2019-2026</t>
  </si>
  <si>
    <t xml:space="preserve">02_SKU_Sales_Data — 50 SKU-family master table: category, sourcing region, cost, price, 2yr synthetic units sold</t>
  </si>
  <si>
    <t xml:space="preserve">03_Inputs_Assumptions — every editable assumption (WACC, buffer policy, markdown risk, etc.) in one place</t>
  </si>
  <si>
    <t xml:space="preserve">04_Baseline_PnL — annual P&amp;L, 100% formula-derived from 02_SKU_Sales_Data</t>
  </si>
  <si>
    <t xml:space="preserve">05_Forecast_Backtest — SARIMA/Holt-Winters vs naive baseline, actual model output imported as data, MAPE/RMSE computed live</t>
  </si>
  <si>
    <t xml:space="preserve">06_MonteCarlo_Simulation — native in-Excel Monte Carlo (500 trials/scenario), formulas only, no pasted results</t>
  </si>
  <si>
    <t xml:space="preserve">07_Decision_Matrix — weighted scoring matrix, SUMPRODUCT formulas against editable scores/weights</t>
  </si>
  <si>
    <t xml:space="preserve">08_Scoring_Rationale — why each score in the matrix was assigned</t>
  </si>
  <si>
    <t xml:space="preserve">09_Second_Order_Effects — first vs second-order consequences of each mitigation option</t>
  </si>
  <si>
    <t xml:space="preserve">10_Buffer_Stock_Econ — Option B working-capital &amp; markdown-risk model, formula-linked to top-20-by-revenue SKUs</t>
  </si>
  <si>
    <t xml:space="preserve">11_Dual_Sourcing_Econ — Option C cost-premium &amp; breakeven model, formula-linked to sourcing-region cost averages</t>
  </si>
  <si>
    <t xml:space="preserve">12_Sensitivity — Option C net economics vs disruption-frequency assumption, live formulas across a frequency range</t>
  </si>
  <si>
    <t xml:space="preserve">13_Multiple_Interpretations — deep, second-order reads of the same numbers, with formula-driven callouts</t>
  </si>
  <si>
    <t xml:space="preserve">DATA PROVENANCE (short version — full sourcing on sheet 01)</t>
  </si>
  <si>
    <t xml:space="preserve">Freight: Drewry World Container Index, via Hellenic Shipping News / mhwmag.com weekly releases, 2019-2025.</t>
  </si>
  <si>
    <t xml:space="preserve">Cotton: ICE Cotton No.2 futures, via Barchart.com, baumwollboerse.de archive, and USDA AMS Cotton Price Statistics.</t>
  </si>
  <si>
    <t xml:space="preserve">SKU-level sales: SYNTHETIC — NorthPeak Apparel is a fictional company; see ASSUMPTIONS_LOG.md (in the project repo) for the</t>
  </si>
  <si>
    <t xml:space="preserve">full, documented generation methodology (seasonality, product lifecycle, churn — all modeled on real fast-fashion patterns).</t>
  </si>
  <si>
    <t xml:space="preserve">Macro Disruption Data — Freight &amp; Cotton, Jan 2019-Sep 2026</t>
  </si>
  <si>
    <t xml:space="preserve">GREEN rows = real, sourced anchor points. White rows = log-linear interpolation between anchors. Full methodology: data/build_macro_series.py in the repo.</t>
  </si>
  <si>
    <t xml:space="preserve">Month</t>
  </si>
  <si>
    <t xml:space="preserve">Freight ($/40ft)</t>
  </si>
  <si>
    <t xml:space="preserve">Freight Real Anchor?</t>
  </si>
  <si>
    <t xml:space="preserve">Freight Source</t>
  </si>
  <si>
    <t xml:space="preserve">Cotton (c/lb)</t>
  </si>
  <si>
    <t xml:space="preserve">Cotton Real Anchor?</t>
  </si>
  <si>
    <t xml:space="preserve">Cotton Source</t>
  </si>
  <si>
    <t xml:space="preserve">2019-01</t>
  </si>
  <si>
    <t xml:space="preserve">YES</t>
  </si>
  <si>
    <t xml:space="preserve">extrapolated boundary (no direct anchor)</t>
  </si>
  <si>
    <t xml:space="preserve">2019-02</t>
  </si>
  <si>
    <t xml:space="preserve">no</t>
  </si>
  <si>
    <t xml:space="preserve">interpolated between anchors (log-linear)</t>
  </si>
  <si>
    <t xml:space="preserve">2019-03</t>
  </si>
  <si>
    <t xml:space="preserve">2019-04</t>
  </si>
  <si>
    <t xml:space="preserve">New York No.2 cotton futures settle, 10 Apr 2019 - baumwollboerse.de archive</t>
  </si>
  <si>
    <t xml:space="preserve">2019-05</t>
  </si>
  <si>
    <t xml:space="preserve">2019-06</t>
  </si>
  <si>
    <t xml:space="preserve">Drewry WCI 2019 pre-pandemic average, as cited in multiple 2025 Drewry weekly releases</t>
  </si>
  <si>
    <t xml:space="preserve">2019-07</t>
  </si>
  <si>
    <t xml:space="preserve">2019-08</t>
  </si>
  <si>
    <t xml:space="preserve">2019-09</t>
  </si>
  <si>
    <t xml:space="preserve">New York No.2 cotton futures settle, 18 Sep 2019 (post trade-war dip) - baumwollboerse.de archive</t>
  </si>
  <si>
    <t xml:space="preserve">2019-10</t>
  </si>
  <si>
    <t xml:space="preserve">2019-11</t>
  </si>
  <si>
    <t xml:space="preserve">2019-12</t>
  </si>
  <si>
    <t xml:space="preserve">2020-01</t>
  </si>
  <si>
    <t xml:space="preserve">2020-02</t>
  </si>
  <si>
    <t xml:space="preserve">2020-03</t>
  </si>
  <si>
    <t xml:space="preserve">2020-04</t>
  </si>
  <si>
    <t xml:space="preserve">2020-05</t>
  </si>
  <si>
    <t xml:space="preserve">2020-06</t>
  </si>
  <si>
    <t xml:space="preserve">2020-07</t>
  </si>
  <si>
    <t xml:space="preserve">2020-08</t>
  </si>
  <si>
    <t xml:space="preserve">USDA AMS Cotton Price Statistics: lowest monthly average, Aug 2020, marketing year 2020-2021 report</t>
  </si>
  <si>
    <t xml:space="preserve">2020-09</t>
  </si>
  <si>
    <t xml:space="preserve">2020-10</t>
  </si>
  <si>
    <t xml:space="preserve">2020-11</t>
  </si>
  <si>
    <t xml:space="preserve">2020-12</t>
  </si>
  <si>
    <t xml:space="preserve">2021-01</t>
  </si>
  <si>
    <t xml:space="preserve">2021-02</t>
  </si>
  <si>
    <t xml:space="preserve">2021-03</t>
  </si>
  <si>
    <t xml:space="preserve">2021-04</t>
  </si>
  <si>
    <t xml:space="preserve">2021-05</t>
  </si>
  <si>
    <t xml:space="preserve">2021-06</t>
  </si>
  <si>
    <t xml:space="preserve">2021-07</t>
  </si>
  <si>
    <t xml:space="preserve">USDA AMS Cotton Price Statistics: highest monthly average, Jul 2021, marketing year 2020-2021 report</t>
  </si>
  <si>
    <t xml:space="preserve">2021-08</t>
  </si>
  <si>
    <t xml:space="preserve">2021-09</t>
  </si>
  <si>
    <t xml:space="preserve">Drewry WCI pandemic peak, Sept 2021 - cited in every 2024/2025 Drewry weekly release as the reference peak</t>
  </si>
  <si>
    <t xml:space="preserve">2021-10</t>
  </si>
  <si>
    <t xml:space="preserve">2021-11</t>
  </si>
  <si>
    <t xml:space="preserve">2021-12</t>
  </si>
  <si>
    <t xml:space="preserve">2022-01</t>
  </si>
  <si>
    <t xml:space="preserve">2022-02</t>
  </si>
  <si>
    <t xml:space="preserve">2022-03</t>
  </si>
  <si>
    <t xml:space="preserve">2022-04</t>
  </si>
  <si>
    <t xml:space="preserve">2022-05</t>
  </si>
  <si>
    <t xml:space="preserve">ICE cotton futures monthly high, May 2022 - Barchart 'Is Cotton Going Higher in 2025?'</t>
  </si>
  <si>
    <t xml:space="preserve">2022-06</t>
  </si>
  <si>
    <t xml:space="preserve">2022-07</t>
  </si>
  <si>
    <t xml:space="preserve">2022-08</t>
  </si>
  <si>
    <t xml:space="preserve">2022-09</t>
  </si>
  <si>
    <t xml:space="preserve">2022-10</t>
  </si>
  <si>
    <t xml:space="preserve">2022-11</t>
  </si>
  <si>
    <t xml:space="preserve">2022-12</t>
  </si>
  <si>
    <t xml:space="preserve">2023-01</t>
  </si>
  <si>
    <t xml:space="preserve">2023-02</t>
  </si>
  <si>
    <t xml:space="preserve">2023-03</t>
  </si>
  <si>
    <t xml:space="preserve">2023-04</t>
  </si>
  <si>
    <t xml:space="preserve">2023-05</t>
  </si>
  <si>
    <t xml:space="preserve">2023-06</t>
  </si>
  <si>
    <t xml:space="preserve">2023-07</t>
  </si>
  <si>
    <t xml:space="preserve">2023-08</t>
  </si>
  <si>
    <t xml:space="preserve">2023-09</t>
  </si>
  <si>
    <t xml:space="preserve">2023-10</t>
  </si>
  <si>
    <t xml:space="preserve">2023-11</t>
  </si>
  <si>
    <t xml:space="preserve">2023-12</t>
  </si>
  <si>
    <t xml:space="preserve">2024-01</t>
  </si>
  <si>
    <t xml:space="preserve">2024-02</t>
  </si>
  <si>
    <t xml:space="preserve">2024-03</t>
  </si>
  <si>
    <t xml:space="preserve">2024-04</t>
  </si>
  <si>
    <t xml:space="preserve">2024-05</t>
  </si>
  <si>
    <t xml:space="preserve">2024-06</t>
  </si>
  <si>
    <t xml:space="preserve">2024-07</t>
  </si>
  <si>
    <t xml:space="preserve">2024-08</t>
  </si>
  <si>
    <t xml:space="preserve">ICE cotton futures monthly low, Aug 2024 - Barchart</t>
  </si>
  <si>
    <t xml:space="preserve">2024-09</t>
  </si>
  <si>
    <t xml:space="preserve">2024-10</t>
  </si>
  <si>
    <t xml:space="preserve">2024-11</t>
  </si>
  <si>
    <t xml:space="preserve">2024-12</t>
  </si>
  <si>
    <t xml:space="preserve">Drewry WCI, week of 19 Dec 2024 - Hellenic Shipping News / interiordaily.com</t>
  </si>
  <si>
    <t xml:space="preserve">ICE cotton futures, late Dec 2024, 'under 70 cents' - Barchart</t>
  </si>
  <si>
    <t xml:space="preserve">2025-01</t>
  </si>
  <si>
    <t xml:space="preserve">2025-02</t>
  </si>
  <si>
    <t xml:space="preserve">Drewry WCI, week of 20 Feb 2025 - Hellenic Shipping News</t>
  </si>
  <si>
    <t xml:space="preserve">2025-03</t>
  </si>
  <si>
    <t xml:space="preserve">Drewry WCI, week of 13 Mar 2025 - FreshPublishers/interiordaily.com</t>
  </si>
  <si>
    <t xml:space="preserve">ICE cotton futures settle, 31 Mar 2025 - Barchart 'Does Cotton Have a Chance to Rally in 2025?'</t>
  </si>
  <si>
    <t xml:space="preserve">2025-04</t>
  </si>
  <si>
    <t xml:space="preserve">Drewry WCI, week of 3 Apr 2025 (avg of 2157-2265 range reported across April 2025 releases) - Hellenic Shipping News</t>
  </si>
  <si>
    <t xml:space="preserve">ICE cotton futures monthly low, Apr 2025 - Barchart</t>
  </si>
  <si>
    <t xml:space="preserve">2025-05</t>
  </si>
  <si>
    <t xml:space="preserve">Drewry WCI, week of 8 May 2025 - mhwmag.com</t>
  </si>
  <si>
    <t xml:space="preserve">2025-06</t>
  </si>
  <si>
    <t xml:space="preserve">ICE cotton futures (July'25 contract), 9 Jun 2025, ~65.99c - Textalks.com</t>
  </si>
  <si>
    <t xml:space="preserve">2025-07</t>
  </si>
  <si>
    <t xml:space="preserve">2025-08</t>
  </si>
  <si>
    <t xml:space="preserve">Drewry WCI, week of 7 Aug 2025 - Hellenic Shipping News</t>
  </si>
  <si>
    <t xml:space="preserve">ICE cotton futures, early Aug 2025, 'over 67 cents' - Barchart 'Can Cotton Break Out'</t>
  </si>
  <si>
    <t xml:space="preserve">2025-09</t>
  </si>
  <si>
    <t xml:space="preserve">2025-10</t>
  </si>
  <si>
    <t xml:space="preserve">2025-11</t>
  </si>
  <si>
    <t xml:space="preserve">2025-12</t>
  </si>
  <si>
    <t xml:space="preserve">ICE cotton futures (Dec contract), Dec 2025, 'nearly 63.90 cents' - Yahoo Finance / Barchart</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</si>
  <si>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</si>
  <si>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</si>
  <si>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</si>
  <si>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</si>
  <si>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</si>
  <si>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</si>
  <si>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</si>
  <si>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</si>
  <si>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</si>
  <si>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SKU-Family Master Table (50 families) — SYNTHETIC sales volume, real-pattern-modeled</t>
  </si>
  <si>
    <t xml:space="preserve">YELLOW columns = raw data. BLUE columns (Revenue, COGS, Rank) = live formulas computed from the yellow columns — every other sheet in this workbook references THESE cells, not a Python-computed number.</t>
  </si>
  <si>
    <t xml:space="preserve">SKU Family ID</t>
  </si>
  <si>
    <t xml:space="preserve">Category</t>
  </si>
  <si>
    <t xml:space="preserve">Sourcing Region</t>
  </si>
  <si>
    <t xml:space="preserve">Unit Cost (USD)</t>
  </si>
  <si>
    <t xml:space="preserve">Retail Price (USD)</t>
  </si>
  <si>
    <t xml:space="preserve">Units Sold (2yr)</t>
  </si>
  <si>
    <t xml:space="preserve">Revenue 2yr (USD)</t>
  </si>
  <si>
    <t xml:space="preserve">COGS 2yr (USD)</t>
  </si>
  <si>
    <t xml:space="preserve">Rank by Revenue</t>
  </si>
  <si>
    <t xml:space="preserve">SKU-001</t>
  </si>
  <si>
    <t xml:space="preserve">Womenswear-Tops</t>
  </si>
  <si>
    <t xml:space="preserve">India</t>
  </si>
  <si>
    <t xml:space="preserve">SKU-002</t>
  </si>
  <si>
    <t xml:space="preserve">Menswear-Tops</t>
  </si>
  <si>
    <t xml:space="preserve">China</t>
  </si>
  <si>
    <t xml:space="preserve">SKU-003</t>
  </si>
  <si>
    <t xml:space="preserve">Vietnam</t>
  </si>
  <si>
    <t xml:space="preserve">SKU-004</t>
  </si>
  <si>
    <t xml:space="preserve">SKU-005</t>
  </si>
  <si>
    <t xml:space="preserve">Womenswear-Bottoms</t>
  </si>
  <si>
    <t xml:space="preserve">Bangladesh</t>
  </si>
  <si>
    <t xml:space="preserve">SKU-006</t>
  </si>
  <si>
    <t xml:space="preserve">SKU-007</t>
  </si>
  <si>
    <t xml:space="preserve">Footwear</t>
  </si>
  <si>
    <t xml:space="preserve">SKU-008</t>
  </si>
  <si>
    <t xml:space="preserve">SKU-009</t>
  </si>
  <si>
    <t xml:space="preserve">SKU-010</t>
  </si>
  <si>
    <t xml:space="preserve">SKU-011</t>
  </si>
  <si>
    <t xml:space="preserve">Accessories</t>
  </si>
  <si>
    <t xml:space="preserve">SKU-012</t>
  </si>
  <si>
    <t xml:space="preserve">SKU-013</t>
  </si>
  <si>
    <t xml:space="preserve">SKU-014</t>
  </si>
  <si>
    <t xml:space="preserve">SKU-015</t>
  </si>
  <si>
    <t xml:space="preserve">Turkey</t>
  </si>
  <si>
    <t xml:space="preserve">SKU-016</t>
  </si>
  <si>
    <t xml:space="preserve">SKU-017</t>
  </si>
  <si>
    <t xml:space="preserve">SKU-018</t>
  </si>
  <si>
    <t xml:space="preserve">SKU-019</t>
  </si>
  <si>
    <t xml:space="preserve">SKU-020</t>
  </si>
  <si>
    <t xml:space="preserve">SKU-021</t>
  </si>
  <si>
    <t xml:space="preserve">Menswear-Bottoms</t>
  </si>
  <si>
    <t xml:space="preserve">SKU-022</t>
  </si>
  <si>
    <t xml:space="preserve">SKU-023</t>
  </si>
  <si>
    <t xml:space="preserve">SKU-024</t>
  </si>
  <si>
    <t xml:space="preserve">SKU-025</t>
  </si>
  <si>
    <t xml:space="preserve">SKU-026</t>
  </si>
  <si>
    <t xml:space="preserve">SKU-027</t>
  </si>
  <si>
    <t xml:space="preserve">SKU-028</t>
  </si>
  <si>
    <t xml:space="preserve">SKU-029</t>
  </si>
  <si>
    <t xml:space="preserve">SKU-030</t>
  </si>
  <si>
    <t xml:space="preserve">SKU-031</t>
  </si>
  <si>
    <t xml:space="preserve">SKU-032</t>
  </si>
  <si>
    <t xml:space="preserve">SKU-033</t>
  </si>
  <si>
    <t xml:space="preserve">SKU-034</t>
  </si>
  <si>
    <t xml:space="preserve">SKU-035</t>
  </si>
  <si>
    <t xml:space="preserve">SKU-036</t>
  </si>
  <si>
    <t xml:space="preserve">SKU-037</t>
  </si>
  <si>
    <t xml:space="preserve">SKU-038</t>
  </si>
  <si>
    <t xml:space="preserve">SKU-039</t>
  </si>
  <si>
    <t xml:space="preserve">SKU-040</t>
  </si>
  <si>
    <t xml:space="preserve">SKU-041</t>
  </si>
  <si>
    <t xml:space="preserve">SKU-042</t>
  </si>
  <si>
    <t xml:space="preserve">SKU-043</t>
  </si>
  <si>
    <t xml:space="preserve">SKU-044</t>
  </si>
  <si>
    <t xml:space="preserve">SKU-045</t>
  </si>
  <si>
    <t xml:space="preserve">SKU-046</t>
  </si>
  <si>
    <t xml:space="preserve">SKU-047</t>
  </si>
  <si>
    <t xml:space="preserve">SKU-048</t>
  </si>
  <si>
    <t xml:space="preserve">SKU-049</t>
  </si>
  <si>
    <t xml:space="preserve">SKU-050</t>
  </si>
  <si>
    <t xml:space="preserve">Editable Assumptions — every YELLOW cell here drives the rest of the workbook</t>
  </si>
  <si>
    <t xml:space="preserve">Input</t>
  </si>
  <si>
    <t xml:space="preserve">Value</t>
  </si>
  <si>
    <t xml:space="preserve">Source / Justification</t>
  </si>
  <si>
    <t xml:space="preserve">WACC / cost of capital, annualized</t>
  </si>
  <si>
    <t xml:space="preserve">Assumption A10 — mid-point of typical mid-market apparel retailer WACC range (9-14%).</t>
  </si>
  <si>
    <t xml:space="preserve">Reorder buffer, current policy (days)</t>
  </si>
  <si>
    <t xml:space="preserve">Baseline lead-time buffer before a stockout risk model kicks in.</t>
  </si>
  <si>
    <t xml:space="preserve">Buffer Stock policy: extra weeks of safety stock (Option B)</t>
  </si>
  <si>
    <t xml:space="preserve">Decision Matrix Option B scope.</t>
  </si>
  <si>
    <t xml:space="preserve">Markdown risk probability (buffer stock)</t>
  </si>
  <si>
    <t xml:space="preserve">Reflects fast-fashion churn risk — editable stress-test input.</t>
  </si>
  <si>
    <t xml:space="preserve">Markdown discount depth if triggered</t>
  </si>
  <si>
    <t xml:space="preserve">Standard end-of-season markdown depth assumption.</t>
  </si>
  <si>
    <t xml:space="preserve">Dual-Sourcing: share of Bangladesh/Vietnam volume to shift (Option C)</t>
  </si>
  <si>
    <t xml:space="preserve">Decision Matrix Option C scope.</t>
  </si>
  <si>
    <t xml:space="preserve">Dual-Sourcing: assumed % reduction in Red-Sea-scenario exposure for shifted volume</t>
  </si>
  <si>
    <t xml:space="preserve">Conservative assumption — Turkey sourcing does not eliminate all risk, only roughly halves it for the shifted share.</t>
  </si>
  <si>
    <t xml:space="preserve">Air-Freight cost multiplier vs ocean (industry rule of thumb)</t>
  </si>
  <si>
    <t xml:space="preserve">Widely cited: air freight runs 4-6x ocean cost/unit; midpoint used.</t>
  </si>
  <si>
    <t xml:space="preserve">Disruption frequency: major events per decade (central case)</t>
  </si>
  <si>
    <t xml:space="preserve">Real-world observed: 2021 pandemic congestion + 2024 Red Sea rerouting = 2 events in ~5yr = ~4/decade.</t>
  </si>
  <si>
    <t xml:space="preserve">Containers per week, est. (units / ~275 units per 40ft container)</t>
  </si>
  <si>
    <t xml:space="preserve">Baseline annual units / 52 weeks / ~275 units per container, apparel-blend estimate.</t>
  </si>
  <si>
    <t xml:space="preserve">Monte Carlo: logistic steepness k (stockout probability curve)</t>
  </si>
  <si>
    <t xml:space="preserve">Controls how sharply stockout probability rises once extra transit days exceed the buffer — same parameter used in the Python model, kept consistent.</t>
  </si>
  <si>
    <t xml:space="preserve">Cotton: share of unit cost from raw material</t>
  </si>
  <si>
    <t xml:space="preserve">Apparel-blend estimate: raw cotton typically ~30-40% of landed unit cost for a cotton-heavy fast-fashion assortment.</t>
  </si>
  <si>
    <t xml:space="preserve">Baseline Annual P&amp;L — 100% formula-derived from 02_SKU_Sales_Data</t>
  </si>
  <si>
    <t xml:space="preserve">Scope: the 50-SKU-family assortment used across this project — read as a representative product division.</t>
  </si>
  <si>
    <t xml:space="preserve">Total Revenue, 2yr (USD)</t>
  </si>
  <si>
    <t xml:space="preserve">Total COGS, 2yr (USD)</t>
  </si>
  <si>
    <t xml:space="preserve">Annual Revenue (USD)</t>
  </si>
  <si>
    <t xml:space="preserve">Annual COGS (USD)</t>
  </si>
  <si>
    <t xml:space="preserve">Annual Gross Margin (USD)</t>
  </si>
  <si>
    <t xml:space="preserve">Annual Gross Margin (%)</t>
  </si>
  <si>
    <t xml:space="preserve">Total Units Sold, 2yr</t>
  </si>
  <si>
    <t xml:space="preserve">Annual Units Sold</t>
  </si>
  <si>
    <t xml:space="preserve">Blended Unit Price (USD)</t>
  </si>
  <si>
    <t xml:space="preserve">Blended Unit Cost (USD)</t>
  </si>
  <si>
    <t xml:space="preserve">Blended Margin/Unit (USD)</t>
  </si>
  <si>
    <t xml:space="preserve">Weekly Baseline Units (Annual/52)</t>
  </si>
  <si>
    <t xml:space="preserve">Sourcing Concentration (live SUMIF against 02_SKU_Sales_Data)</t>
  </si>
  <si>
    <t xml:space="preserve">Region</t>
  </si>
  <si>
    <t xml:space="preserve">Revenue Share</t>
  </si>
  <si>
    <t xml:space="preserve">Avg Unit Cost</t>
  </si>
  <si>
    <t xml:space="preserve">Forecast Model Backtest — Weeks 91-103 Holdout</t>
  </si>
  <si>
    <t xml:space="preserve">Actual/forecast VALUES are imported model output (SARIMA/Holt-Winters fitting isn't a plain-formula operation — statsmodels ran in Python, see notebooks/forecast_model.py). MAPE/RMSE below ARE live formulas over these columns, not pasted metrics.</t>
  </si>
  <si>
    <t xml:space="preserve">Week Idx</t>
  </si>
  <si>
    <t xml:space="preserve">Actual</t>
  </si>
  <si>
    <t xml:space="preserve">Naive Forecast</t>
  </si>
  <si>
    <t xml:space="preserve">Holt-Winters Forecast</t>
  </si>
  <si>
    <t xml:space="preserve">SARIMA Forecast</t>
  </si>
  <si>
    <t xml:space="preserve">Abs %Err (HW)</t>
  </si>
  <si>
    <t xml:space="preserve">Abs %Err (SARIMA)</t>
  </si>
  <si>
    <t xml:space="preserve">MODEL COMPARISON (live formulas over the columns above)</t>
  </si>
  <si>
    <t xml:space="preserve">Model</t>
  </si>
  <si>
    <t xml:space="preserve">MAPE (live AVERAGE)</t>
  </si>
  <si>
    <t xml:space="preserve">RMSE (live array formula)</t>
  </si>
  <si>
    <t xml:space="preserve">Naive (13wk seasonal avg)</t>
  </si>
  <si>
    <t xml:space="preserve">Holt-Winters</t>
  </si>
  <si>
    <t xml:space="preserve">SARIMA(1,1,1)(1,1,1,13)</t>
  </si>
  <si>
    <t xml:space="preserve">Native In-Excel Monte Carlo Simulation (300 trials/scenario)</t>
  </si>
  <si>
    <t xml:space="preserve">Every trial row below is a LIVE FORMULA (RAND(), NORM.S.INV(), referencing the scenario parameters and the Baseline P&amp;L/Inputs cells). Press Ctrl+Alt+F9 to redraw a fresh random simulation. No result here is pasted.</t>
  </si>
  <si>
    <t xml:space="preserve">SCENARIO PARAMETERS (editable, yellow)</t>
  </si>
  <si>
    <t xml:space="preserve">Scenario</t>
  </si>
  <si>
    <t xml:space="preserve">Dur Min (wk)</t>
  </si>
  <si>
    <t xml:space="preserve">Dur Mode (wk)</t>
  </si>
  <si>
    <t xml:space="preserve">Dur Max (wk)</t>
  </si>
  <si>
    <t xml:space="preserve">Transit Mean (days)</t>
  </si>
  <si>
    <t xml:space="preserve">Transit SD (days)</t>
  </si>
  <si>
    <t xml:space="preserve">Freight Mult</t>
  </si>
  <si>
    <t xml:space="preserve">Cotton Mult</t>
  </si>
  <si>
    <t xml:space="preserve">A: Red Sea Rerouting</t>
  </si>
  <si>
    <t xml:space="preserve">B: Tariff Shock</t>
  </si>
  <si>
    <t xml:space="preserve">C: Cotton Price Spike</t>
  </si>
  <si>
    <t xml:space="preserve">TRIAL-LEVEL SIMULATION (formulas only)</t>
  </si>
  <si>
    <t xml:space="preserve">Trial #</t>
  </si>
  <si>
    <t xml:space="preserve">U (RAND, duration draw)</t>
  </si>
  <si>
    <t xml:space="preserve">Duration (wk, formula)</t>
  </si>
  <si>
    <t xml:space="preserve">Transit Days (formula)</t>
  </si>
  <si>
    <t xml:space="preserve">Stockout Prob (formula)</t>
  </si>
  <si>
    <t xml:space="preserve">Lost-Revenue Cost</t>
  </si>
  <si>
    <t xml:space="preserve">Freight+Cotton Cost</t>
  </si>
  <si>
    <t xml:space="preserve">TOTAL Cost (formula)</t>
  </si>
  <si>
    <t xml:space="preserve">SIMULATION SUMMARY (live AVERAGE / PERCENTILE.INC over the trial blocks above)</t>
  </si>
  <si>
    <t xml:space="preserve">Mean Cost</t>
  </si>
  <si>
    <t xml:space="preserve">P10</t>
  </si>
  <si>
    <t xml:space="preserve">P50 (Median)</t>
  </si>
  <si>
    <t xml:space="preserve">P90</t>
  </si>
  <si>
    <t xml:space="preserve">P99 (tail risk)</t>
  </si>
  <si>
    <t xml:space="preserve">Mitigation Option Decision Matrix (Weighted Scoring)</t>
  </si>
  <si>
    <t xml:space="preserve">Scores 1(worst)-5(best), editable (yellow). Weighted score = SUMPRODUCT(scores,weights) — live formula.</t>
  </si>
  <si>
    <t xml:space="preserve">Criterion</t>
  </si>
  <si>
    <t xml:space="preserve">Weight</t>
  </si>
  <si>
    <t xml:space="preserve">A: Do Nothing</t>
  </si>
  <si>
    <t xml:space="preserve">B: Buffer Stock (+3wk, top-20 SKUs)</t>
  </si>
  <si>
    <t xml:space="preserve">C: Dual-Sourcing (30% BGD/VN to Turkey)</t>
  </si>
  <si>
    <t xml:space="preserve">D: Air-Freight Fallback</t>
  </si>
  <si>
    <t xml:space="preserve">Cost to implement (lower cost = higher score)</t>
  </si>
  <si>
    <t xml:space="preserve">Effectiveness / disruption risk reduction</t>
  </si>
  <si>
    <t xml:space="preserve">Time to implement</t>
  </si>
  <si>
    <t xml:space="preserve">Ongoing margin impact</t>
  </si>
  <si>
    <t xml:space="preserve">Explainability / planner adoption ease</t>
  </si>
  <si>
    <t xml:space="preserve">Strategic flexibility (optionality created)</t>
  </si>
  <si>
    <t xml:space="preserve">WEIGHTED TOTAL SCORE (live SUMPRODUCT)</t>
  </si>
  <si>
    <t xml:space="preserve">Monte Carlo cross-check (live link to 06_MonteCarlo_Simulation):</t>
  </si>
  <si>
    <t xml:space="preserve">RECOMMENDATION: Option B immediately as a bridge, + Option C as a STRATEGIC de-risking move (not a pure-ROI one — see 11_Dual_Sourcing_Econ: net financial economics are negative at realistic disruption frequency). IMPORTANT CAVEAT: this weighted matrix alone favors 'Do Nothing' — it doesn't price tail risk. Read together with the Monte Carlo P90/P99 numbers above, not in isolation.</t>
  </si>
  <si>
    <t xml:space="preserve">Scoring Rationale</t>
  </si>
  <si>
    <t xml:space="preserve">A: Do Nothing — Cost=5, Effectiveness=1</t>
  </si>
  <si>
    <t xml:space="preserve">Zero implementation cost by definition. But live Monte Carlo (sheet 06) shows Mean exposure ~$1.79M and P99 ~$3.66M for Red Sea alone with zero mitigation — worst possible risk reduction.</t>
  </si>
  <si>
    <t xml:space="preserve">B: Buffer Stock — Cost=3, Effectiveness=3</t>
  </si>
  <si>
    <t xml:space="preserve">Moderate working-capital cost (see sheet 10 for the live-computed figure). Reduces stockout probability for moderate disruptions but the extra buffer isn't enough to fully absorb the Red Sea scenario's transit-time gap.</t>
  </si>
  <si>
    <t xml:space="preserve">B: Buffer Stock — Margin impact=2</t>
  </si>
  <si>
    <t xml:space="preserve">Carrying cost plus markdown risk (see sheet 10) is a real, recurring cost, not one-time.</t>
  </si>
  <si>
    <t xml:space="preserve">C: Dual-Sourcing — Cost=2, Effectiveness=5</t>
  </si>
  <si>
    <t xml:space="preserve">Most expensive to stand up (supplier qualification), but the only option that structurally reduces concentration risk rather than just buffering against it.</t>
  </si>
  <si>
    <t xml:space="preserve">C: Dual-Sourcing — Time=1</t>
  </si>
  <si>
    <t xml:space="preserve">Realistically 9-15 months to qualify a new supplier at scale — the slowest option.</t>
  </si>
  <si>
    <t xml:space="preserve">D: Air-Freight Fallback — Margin impact=1</t>
  </si>
  <si>
    <t xml:space="preserve">Air freight runs ~5x ocean cost/unit (see 03_Inputs_Assumptions) — an emergency lever, not a sustainable policy.</t>
  </si>
  <si>
    <t xml:space="preserve">Second-Order Effects</t>
  </si>
  <si>
    <t xml:space="preserve">Option</t>
  </si>
  <si>
    <t xml:space="preserve">First-Order Effect</t>
  </si>
  <si>
    <t xml:space="preserve">Second-Order Effect(s)</t>
  </si>
  <si>
    <t xml:space="preserve">Preserves capital, changes nothing operationally.</t>
  </si>
  <si>
    <t xml:space="preserve">Planners bear the FULL tail risk (P99=$3.66M) with no capital set aside — an unplanned emergency request if the event hits, likely at worse spot rates than modeled.</t>
  </si>
  <si>
    <t xml:space="preserve">B: Buffer Stock</t>
  </si>
  <si>
    <t xml:space="preserve">Reduces stockout probability for moderate disruptions.</t>
  </si>
  <si>
    <t xml:space="preserve">(1) Competes with Option C for budget/attention. (2) Extra stock risks markdown if a trend shifts (avg SKU life ~26-38wk). (3) Can create false confidence — planners may stop escalating risk signals.</t>
  </si>
  <si>
    <t xml:space="preserve">C: Dual-Sourcing</t>
  </si>
  <si>
    <t xml:space="preserve">Structurally reduces sourcing concentration risk.</t>
  </si>
  <si>
    <t xml:space="preserve">(1) Roughly doubles QC complexity (two supplier relationships). (2) Splits working capital across two payment cycles. (3) POSITIVE: Turkey's shorter EU-Core transit time improves responsiveness for ALL EU-Core replenishment, not just disruption resilience — an option-value benefit the financial model doesn't capture.</t>
  </si>
  <si>
    <t xml:space="preserve">Fast, effective stockout avoidance when triggered.</t>
  </si>
  <si>
    <t xml:space="preserve">(1) Overuse could mask forecasting problems by hiding their cost in logistics spend. (2) Air cargo capacity itself gets scarce during major disruptions — reliability is inversely correlated with how badly it's needed.</t>
  </si>
  <si>
    <t xml:space="preserve">Option B: Buffer Stock — Working Capital &amp; Markdown Risk (formula-linked to 02_SKU_Sales_Data)</t>
  </si>
  <si>
    <t xml:space="preserve">Top-20 SKU-families: total units (2yr), live SUMIF on Rank&lt;=20</t>
  </si>
  <si>
    <t xml:space="preserve">Top-20: weekly unit run-rate (/104 weeks)</t>
  </si>
  <si>
    <t xml:space="preserve">Extra buffer weeks</t>
  </si>
  <si>
    <t xml:space="preserve">Extra units held (standing buffer)</t>
  </si>
  <si>
    <t xml:space="preserve">Top-20: avg unit cost, live AVERAGEIF on Rank&lt;=20</t>
  </si>
  <si>
    <t xml:space="preserve">Capital tied up in buffer (USD)</t>
  </si>
  <si>
    <t xml:space="preserve">WACC (annualized)</t>
  </si>
  <si>
    <t xml:space="preserve">Annual carrying cost of buffer (USD)</t>
  </si>
  <si>
    <t xml:space="preserve">Markdown risk probability</t>
  </si>
  <si>
    <t xml:space="preserve">Markdown discount depth</t>
  </si>
  <si>
    <t xml:space="preserve">Top-20: avg retail price, live AVERAGEIF on Rank&lt;=20</t>
  </si>
  <si>
    <t xml:space="preserve">Expected markdown margin erosion (USD/yr)</t>
  </si>
  <si>
    <t xml:space="preserve">TOTAL ANNUAL COST OF OPTION B</t>
  </si>
  <si>
    <t xml:space="preserve">Option C: Dual-Sourcing — Cost Premium &amp; Breakeven (formula-linked to 02_SKU_Sales_Data)</t>
  </si>
  <si>
    <t xml:space="preserve">Bangladesh+Vietnam: total units (2yr), live SUMIF</t>
  </si>
  <si>
    <t xml:space="preserve">Bangladesh+Vietnam: annual units</t>
  </si>
  <si>
    <t xml:space="preserve">Share proposed to shift to Turkey</t>
  </si>
  <si>
    <t xml:space="preserve">Units shifted to Turkey sourcing</t>
  </si>
  <si>
    <t xml:space="preserve">Turkey: avg unit cost, live AVERAGEIF</t>
  </si>
  <si>
    <t xml:space="preserve">Bangladesh+Vietnam: blended avg unit cost, live SUMPRODUCT (OR condition)</t>
  </si>
  <si>
    <t xml:space="preserve">Turkey cost premium (%, live formula)</t>
  </si>
  <si>
    <t xml:space="preserve">ANNUAL COST PREMIUM of dual-sourcing (USD)</t>
  </si>
  <si>
    <t xml:space="preserve">Disruption frequency: major events per decade</t>
  </si>
  <si>
    <t xml:space="preserve">Red Sea scenario Mean cost, live link to 06_MonteCarlo_Simulation</t>
  </si>
  <si>
    <t xml:space="preserve">Severity-reduction assumption (Turkey sourcing)</t>
  </si>
  <si>
    <t xml:space="preserve">Expected annual avoided-loss value (freq x mean cost /10 x severity-reduction x share shifted)</t>
  </si>
  <si>
    <t xml:space="preserve">NET ANNUAL ECONOMICS OF OPTION C (avoided loss minus cost premium)</t>
  </si>
  <si>
    <t xml:space="preserve">Sensitivity: Option C Net Economics vs Disruption-Frequency Assumption</t>
  </si>
  <si>
    <t xml:space="preserve">Each column is a LIVE formula using a different frequency value — not a pasted table.</t>
  </si>
  <si>
    <t xml:space="preserve">Metric</t>
  </si>
  <si>
    <t xml:space="preserve">1/decade</t>
  </si>
  <si>
    <t xml:space="preserve">2/decade</t>
  </si>
  <si>
    <t xml:space="preserve">4/decade</t>
  </si>
  <si>
    <t xml:space="preserve">6.5 (breakeven)</t>
  </si>
  <si>
    <t xml:space="preserve">8/decade</t>
  </si>
  <si>
    <t xml:space="preserve">10/decade</t>
  </si>
  <si>
    <t xml:space="preserve">Expected avoided-loss (USD/yr)</t>
  </si>
  <si>
    <t xml:space="preserve">Cost premium (USD/yr, constant — live link)</t>
  </si>
  <si>
    <t xml:space="preserve">NET economics (USD/yr)</t>
  </si>
  <si>
    <t xml:space="preserve">Multiple Interpretations &amp; Second-Order Reads</t>
  </si>
  <si>
    <t xml:space="preserve">1. Tariff shock — who bears the cost?</t>
  </si>
  <si>
    <t xml:space="preserve">Reading A (full absorption): margin takes the hit directly — Scenario B Mean ~$248K (live, sheet 06), a small % of $14.9M gross margin. Reading B (full pass-through): price rises protect margin % but fast-fashion price elasticity can make units sold fall faster than price rises, potentially REDUCING margin dollars even while 'protecting' the percentage. Reading C (realistic blend): absorb 40-60% short-term, pass through the rest via next season's price architecture — the one I'd take to a VP.</t>
  </si>
  <si>
    <t xml:space="preserve">2. Plan to Mean, P90, or P99?</t>
  </si>
  <si>
    <t xml:space="preserve">Mean is capital-efficient but a 50/50 bet. P90 is standard supply-chain risk practice for a capital allocation ask. P99 makes sense for year 1 of a NEW, unproven mitigation program to build organizational trust. SECOND-ORDER EFFECT: whichever number Finance anchors on becomes the de facto budget and is psychologically hard to revise upward later — worth flagging explicitly, not letting it happen silently.</t>
  </si>
  <si>
    <t xml:space="preserve">3. Do B and C compete for budget, or compound?</t>
  </si>
  <si>
    <t xml:space="preserve">Reading A (compete): B costs ~$77K/yr and works partially; C costs ~$157K/yr in premium and (per sheet 11) has NEGATIVE net ROI at realistic frequency — a capital-constrained VP could reasonably say 'do B only.' Reading B (sequence): implement B now (4-6wk) as a bridge; decide C separately as a strategic de-risking move justified by concentration risk (57%+ of volume in two lanes) and EU-Core lead-time option value — NEITHER priced into the ROI formula. HONEST SYNTHESIS: if the recommendation includes C, say explicitly that the number don't support it as an ROI play — the strategic case has to stand on its own, not be dressed up as positive-ROI.</t>
  </si>
  <si>
    <t xml:space="preserve">4. What does 'Do Nothing' really cost?</t>
  </si>
  <si>
    <t xml:space="preserve">Accounting view: $0 booked, which is why it wins the naive weighted matrix. Risk-adjusted view: expected annual cost = P(disruption) x Mean cost = 0.4 x ~$1.79M (at 4/decade) = ~$716K/yr — far larger than Option B's full cost. Under this reading 'Do Nothing' isn't free, it's an unbooked, unhedged liability. This reframe is the single most important move in the whole model: bringing the risk-adjusted view into a room that defaults to the accounting view.</t>
  </si>
</sst>
</file>

<file path=xl/styles.xml><?xml version="1.0" encoding="utf-8"?>
<styleSheet xmlns="http://schemas.openxmlformats.org/spreadsheetml/2006/main">
  <numFmts count="12">
    <numFmt numFmtId="164" formatCode="General"/>
    <numFmt numFmtId="165" formatCode="\$#,##0"/>
    <numFmt numFmtId="166" formatCode="General"/>
    <numFmt numFmtId="167" formatCode="0.00%"/>
    <numFmt numFmtId="168" formatCode="#,##0"/>
    <numFmt numFmtId="169" formatCode="0.00"/>
    <numFmt numFmtId="170" formatCode="0.0%"/>
    <numFmt numFmtId="171" formatCode="\$#,##0.00"/>
    <numFmt numFmtId="172" formatCode="#,##0.0"/>
    <numFmt numFmtId="173" formatCode="0.000"/>
    <numFmt numFmtId="174" formatCode="0.0"/>
    <numFmt numFmtId="175"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2"/>
      <color rgb="FFC00000"/>
      <name val="Arial"/>
      <family val="0"/>
      <charset val="1"/>
    </font>
    <font>
      <sz val="10"/>
      <name val="Arial"/>
      <family val="0"/>
      <charset val="1"/>
    </font>
    <font>
      <b val="true"/>
      <sz val="11"/>
      <name val="Arial"/>
      <family val="0"/>
      <charset val="1"/>
    </font>
    <font>
      <b val="true"/>
      <sz val="11"/>
      <color rgb="FFFFFFFF"/>
      <name val="Arial"/>
      <family val="0"/>
      <charset val="1"/>
    </font>
    <font>
      <b val="true"/>
      <sz val="18"/>
      <color rgb="FF000000"/>
      <name val="Calibri"/>
      <family val="2"/>
    </font>
    <font>
      <sz val="10"/>
      <color rgb="FF000000"/>
      <name val="Calibri"/>
      <family val="2"/>
    </font>
    <font>
      <b val="true"/>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8D4"/>
        <bgColor rgb="FFD9D9D9"/>
      </patternFill>
    </fill>
    <fill>
      <patternFill patternType="solid">
        <fgColor rgb="FFFFF2CC"/>
        <bgColor rgb="FFFFFFFF"/>
      </patternFill>
    </fill>
    <fill>
      <patternFill patternType="solid">
        <fgColor rgb="FFDDEBF7"/>
        <bgColor rgb="FFD9E8D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5" fontId="11" fillId="5" borderId="1" xfId="0" applyFont="true" applyBorder="true" applyAlignment="true" applyProtection="false">
      <alignment horizontal="general" vertical="bottom" textRotation="0" wrapText="false" indent="0" shrinkToFit="false"/>
      <protection locked="true" hidden="false"/>
    </xf>
    <xf numFmtId="166" fontId="11" fillId="5" borderId="1" xfId="0" applyFont="true" applyBorder="true" applyAlignment="true" applyProtection="false">
      <alignment horizontal="general" vertical="bottom" textRotation="0" wrapText="false" indent="0" shrinkToFit="false"/>
      <protection locked="true" hidden="false"/>
    </xf>
    <xf numFmtId="167" fontId="11" fillId="4"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8" fontId="11" fillId="4" borderId="1" xfId="0" applyFont="true" applyBorder="true" applyAlignment="true" applyProtection="false">
      <alignment horizontal="general" vertical="bottom" textRotation="0" wrapText="false" indent="0" shrinkToFit="false"/>
      <protection locked="true" hidden="false"/>
    </xf>
    <xf numFmtId="169" fontId="11" fillId="4" borderId="1" xfId="0" applyFont="true" applyBorder="true" applyAlignment="true" applyProtection="false">
      <alignment horizontal="general" vertical="bottom" textRotation="0" wrapText="false" indent="0" shrinkToFit="false"/>
      <protection locked="true" hidden="false"/>
    </xf>
    <xf numFmtId="165" fontId="11" fillId="5"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70" fontId="11" fillId="5" borderId="0" xfId="0" applyFont="true" applyBorder="false" applyAlignment="true" applyProtection="false">
      <alignment horizontal="general" vertical="bottom" textRotation="0" wrapText="false" indent="0" shrinkToFit="false"/>
      <protection locked="true" hidden="false"/>
    </xf>
    <xf numFmtId="168" fontId="11" fillId="5" borderId="0" xfId="0" applyFont="true" applyBorder="false" applyAlignment="true" applyProtection="false">
      <alignment horizontal="general" vertical="bottom" textRotation="0" wrapText="false" indent="0" shrinkToFit="false"/>
      <protection locked="true" hidden="false"/>
    </xf>
    <xf numFmtId="171" fontId="11" fillId="5" borderId="0" xfId="0" applyFont="true" applyBorder="false" applyAlignment="true" applyProtection="false">
      <alignment horizontal="general" vertical="bottom" textRotation="0" wrapText="false" indent="0" shrinkToFit="false"/>
      <protection locked="true" hidden="false"/>
    </xf>
    <xf numFmtId="170" fontId="11" fillId="5" borderId="1" xfId="0" applyFont="true" applyBorder="true" applyAlignment="true" applyProtection="false">
      <alignment horizontal="general" vertical="bottom" textRotation="0" wrapText="false" indent="0" shrinkToFit="false"/>
      <protection locked="true" hidden="false"/>
    </xf>
    <xf numFmtId="172" fontId="11" fillId="5" borderId="0" xfId="0" applyFont="true" applyBorder="fals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73" fontId="6" fillId="5" borderId="0" xfId="0" applyFont="true" applyBorder="false" applyAlignment="true" applyProtection="false">
      <alignment horizontal="general" vertical="bottom" textRotation="0" wrapText="false" indent="0" shrinkToFit="false"/>
      <protection locked="true" hidden="false"/>
    </xf>
    <xf numFmtId="169" fontId="6" fillId="5" borderId="0" xfId="0" applyFont="true" applyBorder="false" applyAlignment="true" applyProtection="false">
      <alignment horizontal="general" vertical="bottom" textRotation="0" wrapText="false" indent="0" shrinkToFit="false"/>
      <protection locked="true" hidden="false"/>
    </xf>
    <xf numFmtId="174" fontId="6" fillId="5" borderId="0" xfId="0" applyFont="true" applyBorder="false" applyAlignment="true" applyProtection="false">
      <alignment horizontal="general" vertical="bottom" textRotation="0" wrapText="false" indent="0" shrinkToFit="false"/>
      <protection locked="true" hidden="false"/>
    </xf>
    <xf numFmtId="170" fontId="6" fillId="5" borderId="0" xfId="0" applyFont="true" applyBorder="false" applyAlignment="true" applyProtection="false">
      <alignment horizontal="general" vertical="bottom" textRotation="0" wrapText="false" indent="0" shrinkToFit="false"/>
      <protection locked="true" hidden="false"/>
    </xf>
    <xf numFmtId="165" fontId="6" fillId="5" borderId="0" xfId="0" applyFont="true" applyBorder="false" applyAlignment="true" applyProtection="false">
      <alignment horizontal="general" vertical="bottom" textRotation="0" wrapText="false" indent="0" shrinkToFit="false"/>
      <protection locked="true" hidden="false"/>
    </xf>
    <xf numFmtId="175" fontId="6" fillId="4"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9" fontId="11" fillId="5" borderId="0" xfId="0" applyFont="true" applyBorder="false" applyAlignment="true" applyProtection="false">
      <alignment horizontal="general" vertical="bottom"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0B4"/>
        </patternFill>
      </fill>
    </dxf>
    <dxf>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0B4"/>
      <rgbColor rgb="FFD9E8D4"/>
      <rgbColor rgb="FFFFFF99"/>
      <rgbColor rgb="FF99CCFF"/>
      <rgbColor rgb="FFFF99CC"/>
      <rgbColor rgb="FFCC99FF"/>
      <rgbColor rgb="FFF8CBAD"/>
      <rgbColor rgb="FF4F81BD"/>
      <rgbColor rgb="FF33CCCC"/>
      <rgbColor rgb="FF99CC00"/>
      <rgbColor rgb="FFFFCC00"/>
      <rgbColor rgb="FFFF9900"/>
      <rgbColor rgb="FFFF6600"/>
      <rgbColor rgb="FF4A7EBB"/>
      <rgbColor rgb="FFB3B3B3"/>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Freight &amp; Cotton, 2019-2026</a:t>
            </a:r>
          </a:p>
        </c:rich>
      </c:tx>
      <c:overlay val="0"/>
      <c:spPr>
        <a:noFill/>
        <a:ln w="0">
          <a:noFill/>
        </a:ln>
      </c:spPr>
    </c:title>
    <c:autoTitleDeleted val="0"/>
    <c:plotArea>
      <c:lineChart>
        <c:grouping val="standard"/>
        <c:varyColors val="0"/>
        <c:ser>
          <c:idx val="0"/>
          <c:order val="0"/>
          <c:tx>
            <c:strRef>
              <c:f>01_Macro_Data!B4</c:f>
              <c:strCache>
                <c:ptCount val="1"/>
                <c:pt idx="0">
                  <c:v>Freight ($/40ft)</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01_Macro_Data!$A$5:$A$97</c:f>
              <c:strCache>
                <c:ptCount val="93"/>
                <c:pt idx="0">
                  <c:v>2019-01</c:v>
                </c:pt>
                <c:pt idx="1">
                  <c:v>2019-02</c:v>
                </c:pt>
                <c:pt idx="2">
                  <c:v>2019-03</c:v>
                </c:pt>
                <c:pt idx="3">
                  <c:v>2019-04</c:v>
                </c:pt>
                <c:pt idx="4">
                  <c:v>2019-05</c:v>
                </c:pt>
                <c:pt idx="5">
                  <c:v>2019-06</c:v>
                </c:pt>
                <c:pt idx="6">
                  <c:v>2019-07</c:v>
                </c:pt>
                <c:pt idx="7">
                  <c:v>2019-08</c:v>
                </c:pt>
                <c:pt idx="8">
                  <c:v>2019-09</c:v>
                </c:pt>
                <c:pt idx="9">
                  <c:v>2019-10</c:v>
                </c:pt>
                <c:pt idx="10">
                  <c:v>2019-11</c:v>
                </c:pt>
                <c:pt idx="11">
                  <c:v>2019-12</c:v>
                </c:pt>
                <c:pt idx="12">
                  <c:v>2020-01</c:v>
                </c:pt>
                <c:pt idx="13">
                  <c:v>2020-02</c:v>
                </c:pt>
                <c:pt idx="14">
                  <c:v>2020-03</c:v>
                </c:pt>
                <c:pt idx="15">
                  <c:v>2020-04</c:v>
                </c:pt>
                <c:pt idx="16">
                  <c:v>2020-05</c:v>
                </c:pt>
                <c:pt idx="17">
                  <c:v>2020-06</c:v>
                </c:pt>
                <c:pt idx="18">
                  <c:v>2020-07</c:v>
                </c:pt>
                <c:pt idx="19">
                  <c:v>2020-08</c:v>
                </c:pt>
                <c:pt idx="20">
                  <c:v>2020-09</c:v>
                </c:pt>
                <c:pt idx="21">
                  <c:v>2020-10</c:v>
                </c:pt>
                <c:pt idx="22">
                  <c:v>2020-11</c:v>
                </c:pt>
                <c:pt idx="23">
                  <c:v>2020-12</c:v>
                </c:pt>
                <c:pt idx="24">
                  <c:v>2021-01</c:v>
                </c:pt>
                <c:pt idx="25">
                  <c:v>2021-02</c:v>
                </c:pt>
                <c:pt idx="26">
                  <c:v>2021-03</c:v>
                </c:pt>
                <c:pt idx="27">
                  <c:v>2021-04</c:v>
                </c:pt>
                <c:pt idx="28">
                  <c:v>2021-05</c:v>
                </c:pt>
                <c:pt idx="29">
                  <c:v>2021-06</c:v>
                </c:pt>
                <c:pt idx="30">
                  <c:v>2021-07</c:v>
                </c:pt>
                <c:pt idx="31">
                  <c:v>2021-08</c:v>
                </c:pt>
                <c:pt idx="32">
                  <c:v>2021-09</c:v>
                </c:pt>
                <c:pt idx="33">
                  <c:v>2021-10</c:v>
                </c:pt>
                <c:pt idx="34">
                  <c:v>2021-11</c:v>
                </c:pt>
                <c:pt idx="35">
                  <c:v>2021-12</c:v>
                </c:pt>
                <c:pt idx="36">
                  <c:v>2022-01</c:v>
                </c:pt>
                <c:pt idx="37">
                  <c:v>2022-02</c:v>
                </c:pt>
                <c:pt idx="38">
                  <c:v>2022-03</c:v>
                </c:pt>
                <c:pt idx="39">
                  <c:v>2022-04</c:v>
                </c:pt>
                <c:pt idx="40">
                  <c:v>2022-05</c:v>
                </c:pt>
                <c:pt idx="41">
                  <c:v>2022-06</c:v>
                </c:pt>
                <c:pt idx="42">
                  <c:v>2022-07</c:v>
                </c:pt>
                <c:pt idx="43">
                  <c:v>2022-08</c:v>
                </c:pt>
                <c:pt idx="44">
                  <c:v>2022-09</c:v>
                </c:pt>
                <c:pt idx="45">
                  <c:v>2022-10</c:v>
                </c:pt>
                <c:pt idx="46">
                  <c:v>2022-11</c:v>
                </c:pt>
                <c:pt idx="47">
                  <c:v>2022-12</c:v>
                </c:pt>
                <c:pt idx="48">
                  <c:v>2023-01</c:v>
                </c:pt>
                <c:pt idx="49">
                  <c:v>2023-02</c:v>
                </c:pt>
                <c:pt idx="50">
                  <c:v>2023-03</c:v>
                </c:pt>
                <c:pt idx="51">
                  <c:v>2023-04</c:v>
                </c:pt>
                <c:pt idx="52">
                  <c:v>2023-05</c:v>
                </c:pt>
                <c:pt idx="53">
                  <c:v>2023-06</c:v>
                </c:pt>
                <c:pt idx="54">
                  <c:v>2023-07</c:v>
                </c:pt>
                <c:pt idx="55">
                  <c:v>2023-08</c:v>
                </c:pt>
                <c:pt idx="56">
                  <c:v>2023-09</c:v>
                </c:pt>
                <c:pt idx="57">
                  <c:v>2023-10</c:v>
                </c:pt>
                <c:pt idx="58">
                  <c:v>2023-11</c:v>
                </c:pt>
                <c:pt idx="59">
                  <c:v>2023-12</c:v>
                </c:pt>
                <c:pt idx="60">
                  <c:v>2024-01</c:v>
                </c:pt>
                <c:pt idx="61">
                  <c:v>2024-02</c:v>
                </c:pt>
                <c:pt idx="62">
                  <c:v>2024-03</c:v>
                </c:pt>
                <c:pt idx="63">
                  <c:v>2024-04</c:v>
                </c:pt>
                <c:pt idx="64">
                  <c:v>2024-05</c:v>
                </c:pt>
                <c:pt idx="65">
                  <c:v>2024-06</c:v>
                </c:pt>
                <c:pt idx="66">
                  <c:v>2024-07</c:v>
                </c:pt>
                <c:pt idx="67">
                  <c:v>2024-08</c:v>
                </c:pt>
                <c:pt idx="68">
                  <c:v>2024-09</c:v>
                </c:pt>
                <c:pt idx="69">
                  <c:v>2024-10</c:v>
                </c:pt>
                <c:pt idx="70">
                  <c:v>2024-11</c:v>
                </c:pt>
                <c:pt idx="71">
                  <c:v>2024-12</c:v>
                </c:pt>
                <c:pt idx="72">
                  <c:v>2025-01</c:v>
                </c:pt>
                <c:pt idx="73">
                  <c:v>2025-02</c:v>
                </c:pt>
                <c:pt idx="74">
                  <c:v>2025-03</c:v>
                </c:pt>
                <c:pt idx="75">
                  <c:v>2025-04</c:v>
                </c:pt>
                <c:pt idx="76">
                  <c:v>2025-05</c:v>
                </c:pt>
                <c:pt idx="77">
                  <c:v>2025-06</c:v>
                </c:pt>
                <c:pt idx="78">
                  <c:v>2025-07</c:v>
                </c:pt>
                <c:pt idx="79">
                  <c:v>2025-08</c:v>
                </c:pt>
                <c:pt idx="80">
                  <c:v>2025-09</c:v>
                </c:pt>
                <c:pt idx="81">
                  <c:v>2025-10</c:v>
                </c:pt>
                <c:pt idx="82">
                  <c:v>2025-11</c:v>
                </c:pt>
                <c:pt idx="83">
                  <c:v>2025-12</c:v>
                </c:pt>
                <c:pt idx="84">
                  <c:v>2026-01</c:v>
                </c:pt>
                <c:pt idx="85">
                  <c:v>2026-02</c:v>
                </c:pt>
                <c:pt idx="86">
                  <c:v>2026-03</c:v>
                </c:pt>
                <c:pt idx="87">
                  <c:v>2026-04</c:v>
                </c:pt>
                <c:pt idx="88">
                  <c:v>2026-05</c:v>
                </c:pt>
                <c:pt idx="89">
                  <c:v>2026-06</c:v>
                </c:pt>
                <c:pt idx="90">
                  <c:v>2026-07</c:v>
                </c:pt>
                <c:pt idx="91">
                  <c:v>2026-08</c:v>
                </c:pt>
                <c:pt idx="92">
                  <c:v>2026-09</c:v>
                </c:pt>
              </c:strCache>
            </c:strRef>
          </c:cat>
          <c:val>
            <c:numRef>
              <c:f>01_Macro_Data!$B$5:$B$97</c:f>
              <c:numCache>
                <c:formatCode>General</c:formatCode>
                <c:ptCount val="93"/>
                <c:pt idx="0">
                  <c:v>1420</c:v>
                </c:pt>
                <c:pt idx="1">
                  <c:v>1413</c:v>
                </c:pt>
                <c:pt idx="2">
                  <c:v>1452</c:v>
                </c:pt>
                <c:pt idx="3">
                  <c:v>1496</c:v>
                </c:pt>
                <c:pt idx="4">
                  <c:v>1408</c:v>
                </c:pt>
                <c:pt idx="5">
                  <c:v>1420</c:v>
                </c:pt>
                <c:pt idx="6">
                  <c:v>1611</c:v>
                </c:pt>
                <c:pt idx="7">
                  <c:v>1690</c:v>
                </c:pt>
                <c:pt idx="8">
                  <c:v>1744</c:v>
                </c:pt>
                <c:pt idx="9">
                  <c:v>1943</c:v>
                </c:pt>
                <c:pt idx="10">
                  <c:v>2022</c:v>
                </c:pt>
                <c:pt idx="11">
                  <c:v>2174</c:v>
                </c:pt>
                <c:pt idx="12">
                  <c:v>2402</c:v>
                </c:pt>
                <c:pt idx="13">
                  <c:v>2395</c:v>
                </c:pt>
                <c:pt idx="14">
                  <c:v>2587</c:v>
                </c:pt>
                <c:pt idx="15">
                  <c:v>2909</c:v>
                </c:pt>
                <c:pt idx="16">
                  <c:v>3078</c:v>
                </c:pt>
                <c:pt idx="17">
                  <c:v>3477</c:v>
                </c:pt>
                <c:pt idx="18">
                  <c:v>3580</c:v>
                </c:pt>
                <c:pt idx="19">
                  <c:v>3788</c:v>
                </c:pt>
                <c:pt idx="20">
                  <c:v>4516</c:v>
                </c:pt>
                <c:pt idx="21">
                  <c:v>4582</c:v>
                </c:pt>
                <c:pt idx="22">
                  <c:v>4989</c:v>
                </c:pt>
                <c:pt idx="23">
                  <c:v>5085</c:v>
                </c:pt>
                <c:pt idx="24">
                  <c:v>5658</c:v>
                </c:pt>
                <c:pt idx="25">
                  <c:v>6241</c:v>
                </c:pt>
                <c:pt idx="26">
                  <c:v>6384</c:v>
                </c:pt>
                <c:pt idx="27">
                  <c:v>7264</c:v>
                </c:pt>
                <c:pt idx="28">
                  <c:v>7547</c:v>
                </c:pt>
                <c:pt idx="29">
                  <c:v>8223</c:v>
                </c:pt>
                <c:pt idx="30">
                  <c:v>8745</c:v>
                </c:pt>
                <c:pt idx="31">
                  <c:v>10252</c:v>
                </c:pt>
                <c:pt idx="32">
                  <c:v>10377</c:v>
                </c:pt>
                <c:pt idx="33">
                  <c:v>9743</c:v>
                </c:pt>
                <c:pt idx="34">
                  <c:v>10139</c:v>
                </c:pt>
                <c:pt idx="35">
                  <c:v>9198</c:v>
                </c:pt>
                <c:pt idx="36">
                  <c:v>9428</c:v>
                </c:pt>
                <c:pt idx="37">
                  <c:v>8492</c:v>
                </c:pt>
                <c:pt idx="38">
                  <c:v>8490</c:v>
                </c:pt>
                <c:pt idx="39">
                  <c:v>8734</c:v>
                </c:pt>
                <c:pt idx="40">
                  <c:v>8675</c:v>
                </c:pt>
                <c:pt idx="41">
                  <c:v>8287</c:v>
                </c:pt>
                <c:pt idx="42">
                  <c:v>7999</c:v>
                </c:pt>
                <c:pt idx="43">
                  <c:v>7741</c:v>
                </c:pt>
                <c:pt idx="44">
                  <c:v>7227</c:v>
                </c:pt>
                <c:pt idx="45">
                  <c:v>7243</c:v>
                </c:pt>
                <c:pt idx="46">
                  <c:v>7121</c:v>
                </c:pt>
                <c:pt idx="47">
                  <c:v>7318</c:v>
                </c:pt>
                <c:pt idx="48">
                  <c:v>6957</c:v>
                </c:pt>
                <c:pt idx="49">
                  <c:v>6283</c:v>
                </c:pt>
                <c:pt idx="50">
                  <c:v>6614</c:v>
                </c:pt>
                <c:pt idx="51">
                  <c:v>6284</c:v>
                </c:pt>
                <c:pt idx="52">
                  <c:v>6064</c:v>
                </c:pt>
                <c:pt idx="53">
                  <c:v>6180</c:v>
                </c:pt>
                <c:pt idx="54">
                  <c:v>6111</c:v>
                </c:pt>
                <c:pt idx="55">
                  <c:v>5933</c:v>
                </c:pt>
                <c:pt idx="56">
                  <c:v>5433</c:v>
                </c:pt>
                <c:pt idx="57">
                  <c:v>5398</c:v>
                </c:pt>
                <c:pt idx="58">
                  <c:v>5377</c:v>
                </c:pt>
                <c:pt idx="59">
                  <c:v>5360</c:v>
                </c:pt>
                <c:pt idx="60">
                  <c:v>4964</c:v>
                </c:pt>
                <c:pt idx="61">
                  <c:v>4886</c:v>
                </c:pt>
                <c:pt idx="62">
                  <c:v>4613</c:v>
                </c:pt>
                <c:pt idx="63">
                  <c:v>4479</c:v>
                </c:pt>
                <c:pt idx="64">
                  <c:v>4687</c:v>
                </c:pt>
                <c:pt idx="65">
                  <c:v>4650</c:v>
                </c:pt>
                <c:pt idx="66">
                  <c:v>4317</c:v>
                </c:pt>
                <c:pt idx="67">
                  <c:v>4364</c:v>
                </c:pt>
                <c:pt idx="68">
                  <c:v>4159</c:v>
                </c:pt>
                <c:pt idx="69">
                  <c:v>3914</c:v>
                </c:pt>
                <c:pt idx="70">
                  <c:v>3950</c:v>
                </c:pt>
                <c:pt idx="71">
                  <c:v>3803</c:v>
                </c:pt>
                <c:pt idx="72">
                  <c:v>3256</c:v>
                </c:pt>
                <c:pt idx="73">
                  <c:v>2795</c:v>
                </c:pt>
                <c:pt idx="74">
                  <c:v>2368</c:v>
                </c:pt>
                <c:pt idx="75">
                  <c:v>2208</c:v>
                </c:pt>
                <c:pt idx="76">
                  <c:v>2076</c:v>
                </c:pt>
                <c:pt idx="77">
                  <c:v>2164</c:v>
                </c:pt>
                <c:pt idx="78">
                  <c:v>2308</c:v>
                </c:pt>
                <c:pt idx="79">
                  <c:v>2424</c:v>
                </c:pt>
                <c:pt idx="80">
                  <c:v>2405</c:v>
                </c:pt>
                <c:pt idx="81">
                  <c:v>2454</c:v>
                </c:pt>
                <c:pt idx="82">
                  <c:v>2549</c:v>
                </c:pt>
                <c:pt idx="83">
                  <c:v>2380</c:v>
                </c:pt>
                <c:pt idx="84">
                  <c:v>2355</c:v>
                </c:pt>
                <c:pt idx="85">
                  <c:v>2381</c:v>
                </c:pt>
                <c:pt idx="86">
                  <c:v>2502</c:v>
                </c:pt>
                <c:pt idx="87">
                  <c:v>2452</c:v>
                </c:pt>
                <c:pt idx="88">
                  <c:v>2379</c:v>
                </c:pt>
                <c:pt idx="89">
                  <c:v>2468</c:v>
                </c:pt>
                <c:pt idx="90">
                  <c:v>2432</c:v>
                </c:pt>
                <c:pt idx="91">
                  <c:v>2506</c:v>
                </c:pt>
                <c:pt idx="92">
                  <c:v>2424</c:v>
                </c:pt>
              </c:numCache>
            </c:numRef>
          </c:val>
          <c:smooth val="1"/>
        </c:ser>
        <c:hiLowLines>
          <c:spPr>
            <a:ln w="0">
              <a:noFill/>
            </a:ln>
          </c:spPr>
        </c:hiLowLines>
        <c:marker val="0"/>
        <c:axId val="58746453"/>
        <c:axId val="97289964"/>
      </c:lineChart>
      <c:catAx>
        <c:axId val="5874645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289964"/>
        <c:crosses val="autoZero"/>
        <c:auto val="1"/>
        <c:lblAlgn val="ctr"/>
        <c:lblOffset val="100"/>
        <c:noMultiLvlLbl val="0"/>
      </c:catAx>
      <c:valAx>
        <c:axId val="97289964"/>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74645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Backtest: Actual vs Forecasts (Weeks 91-103)</a:t>
            </a:r>
          </a:p>
        </c:rich>
      </c:tx>
      <c:overlay val="0"/>
      <c:spPr>
        <a:noFill/>
        <a:ln w="0">
          <a:noFill/>
        </a:ln>
      </c:spPr>
    </c:title>
    <c:autoTitleDeleted val="0"/>
    <c:plotArea>
      <c:lineChart>
        <c:grouping val="standard"/>
        <c:varyColors val="0"/>
        <c:ser>
          <c:idx val="0"/>
          <c:order val="0"/>
          <c:tx>
            <c:strRef>
              <c:f>05_Forecast_Backtest!B4</c:f>
              <c:strCache>
                <c:ptCount val="1"/>
                <c:pt idx="0">
                  <c:v>Actual</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05_Forecast_Backtest!$A$5:$A$17</c:f>
              <c:strCache>
                <c:ptCount val="13"/>
                <c:pt idx="0">
                  <c:v>91</c:v>
                </c:pt>
                <c:pt idx="1">
                  <c:v>92</c:v>
                </c:pt>
                <c:pt idx="2">
                  <c:v>93</c:v>
                </c:pt>
                <c:pt idx="3">
                  <c:v>94</c:v>
                </c:pt>
                <c:pt idx="4">
                  <c:v>95</c:v>
                </c:pt>
                <c:pt idx="5">
                  <c:v>96</c:v>
                </c:pt>
                <c:pt idx="6">
                  <c:v>97</c:v>
                </c:pt>
                <c:pt idx="7">
                  <c:v>98</c:v>
                </c:pt>
                <c:pt idx="8">
                  <c:v>99</c:v>
                </c:pt>
                <c:pt idx="9">
                  <c:v>100</c:v>
                </c:pt>
                <c:pt idx="10">
                  <c:v>101</c:v>
                </c:pt>
                <c:pt idx="11">
                  <c:v>102</c:v>
                </c:pt>
                <c:pt idx="12">
                  <c:v>103</c:v>
                </c:pt>
              </c:strCache>
            </c:strRef>
          </c:cat>
          <c:val>
            <c:numRef>
              <c:f>05_Forecast_Backtest!$B$5:$B$17</c:f>
              <c:numCache>
                <c:formatCode>General</c:formatCode>
                <c:ptCount val="13"/>
                <c:pt idx="0">
                  <c:v>13055</c:v>
                </c:pt>
                <c:pt idx="1">
                  <c:v>16739</c:v>
                </c:pt>
                <c:pt idx="2">
                  <c:v>20185</c:v>
                </c:pt>
                <c:pt idx="3">
                  <c:v>23340</c:v>
                </c:pt>
                <c:pt idx="4">
                  <c:v>22760</c:v>
                </c:pt>
                <c:pt idx="5">
                  <c:v>19789</c:v>
                </c:pt>
                <c:pt idx="6">
                  <c:v>17030</c:v>
                </c:pt>
                <c:pt idx="7">
                  <c:v>13899</c:v>
                </c:pt>
                <c:pt idx="8">
                  <c:v>11508</c:v>
                </c:pt>
                <c:pt idx="9">
                  <c:v>9941</c:v>
                </c:pt>
                <c:pt idx="10">
                  <c:v>8994</c:v>
                </c:pt>
                <c:pt idx="11">
                  <c:v>8482</c:v>
                </c:pt>
                <c:pt idx="12">
                  <c:v>8865</c:v>
                </c:pt>
              </c:numCache>
            </c:numRef>
          </c:val>
          <c:smooth val="1"/>
        </c:ser>
        <c:ser>
          <c:idx val="1"/>
          <c:order val="1"/>
          <c:tx>
            <c:strRef>
              <c:f>05_Forecast_Backtest!C4</c:f>
              <c:strCache>
                <c:ptCount val="1"/>
                <c:pt idx="0">
                  <c:v>Naive Forecast</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05_Forecast_Backtest!$A$5:$A$17</c:f>
              <c:strCache>
                <c:ptCount val="13"/>
                <c:pt idx="0">
                  <c:v>91</c:v>
                </c:pt>
                <c:pt idx="1">
                  <c:v>92</c:v>
                </c:pt>
                <c:pt idx="2">
                  <c:v>93</c:v>
                </c:pt>
                <c:pt idx="3">
                  <c:v>94</c:v>
                </c:pt>
                <c:pt idx="4">
                  <c:v>95</c:v>
                </c:pt>
                <c:pt idx="5">
                  <c:v>96</c:v>
                </c:pt>
                <c:pt idx="6">
                  <c:v>97</c:v>
                </c:pt>
                <c:pt idx="7">
                  <c:v>98</c:v>
                </c:pt>
                <c:pt idx="8">
                  <c:v>99</c:v>
                </c:pt>
                <c:pt idx="9">
                  <c:v>100</c:v>
                </c:pt>
                <c:pt idx="10">
                  <c:v>101</c:v>
                </c:pt>
                <c:pt idx="11">
                  <c:v>102</c:v>
                </c:pt>
                <c:pt idx="12">
                  <c:v>103</c:v>
                </c:pt>
              </c:strCache>
            </c:strRef>
          </c:cat>
          <c:val>
            <c:numRef>
              <c:f>05_Forecast_Backtest!$C$5:$C$17</c:f>
              <c:numCache>
                <c:formatCode>General</c:formatCode>
                <c:ptCount val="13"/>
                <c:pt idx="0">
                  <c:v>15600.69</c:v>
                </c:pt>
                <c:pt idx="1">
                  <c:v>15600.69</c:v>
                </c:pt>
                <c:pt idx="2">
                  <c:v>15600.69</c:v>
                </c:pt>
                <c:pt idx="3">
                  <c:v>15600.69</c:v>
                </c:pt>
                <c:pt idx="4">
                  <c:v>15600.69</c:v>
                </c:pt>
                <c:pt idx="5">
                  <c:v>15600.69</c:v>
                </c:pt>
                <c:pt idx="6">
                  <c:v>15600.69</c:v>
                </c:pt>
                <c:pt idx="7">
                  <c:v>15600.69</c:v>
                </c:pt>
                <c:pt idx="8">
                  <c:v>15600.69</c:v>
                </c:pt>
                <c:pt idx="9">
                  <c:v>15600.69</c:v>
                </c:pt>
                <c:pt idx="10">
                  <c:v>15600.69</c:v>
                </c:pt>
                <c:pt idx="11">
                  <c:v>15600.69</c:v>
                </c:pt>
                <c:pt idx="12">
                  <c:v>15600.69</c:v>
                </c:pt>
              </c:numCache>
            </c:numRef>
          </c:val>
          <c:smooth val="1"/>
        </c:ser>
        <c:ser>
          <c:idx val="2"/>
          <c:order val="2"/>
          <c:tx>
            <c:strRef>
              <c:f>05_Forecast_Backtest!D4</c:f>
              <c:strCache>
                <c:ptCount val="1"/>
                <c:pt idx="0">
                  <c:v>Holt-Winters Forecast</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05_Forecast_Backtest!$A$5:$A$17</c:f>
              <c:strCache>
                <c:ptCount val="13"/>
                <c:pt idx="0">
                  <c:v>91</c:v>
                </c:pt>
                <c:pt idx="1">
                  <c:v>92</c:v>
                </c:pt>
                <c:pt idx="2">
                  <c:v>93</c:v>
                </c:pt>
                <c:pt idx="3">
                  <c:v>94</c:v>
                </c:pt>
                <c:pt idx="4">
                  <c:v>95</c:v>
                </c:pt>
                <c:pt idx="5">
                  <c:v>96</c:v>
                </c:pt>
                <c:pt idx="6">
                  <c:v>97</c:v>
                </c:pt>
                <c:pt idx="7">
                  <c:v>98</c:v>
                </c:pt>
                <c:pt idx="8">
                  <c:v>99</c:v>
                </c:pt>
                <c:pt idx="9">
                  <c:v>100</c:v>
                </c:pt>
                <c:pt idx="10">
                  <c:v>101</c:v>
                </c:pt>
                <c:pt idx="11">
                  <c:v>102</c:v>
                </c:pt>
                <c:pt idx="12">
                  <c:v>103</c:v>
                </c:pt>
              </c:strCache>
            </c:strRef>
          </c:cat>
          <c:val>
            <c:numRef>
              <c:f>05_Forecast_Backtest!$D$5:$D$17</c:f>
              <c:numCache>
                <c:formatCode>General</c:formatCode>
                <c:ptCount val="13"/>
                <c:pt idx="0">
                  <c:v>12105.15</c:v>
                </c:pt>
                <c:pt idx="1">
                  <c:v>12430.97</c:v>
                </c:pt>
                <c:pt idx="2">
                  <c:v>13651.98</c:v>
                </c:pt>
                <c:pt idx="3">
                  <c:v>15040.37</c:v>
                </c:pt>
                <c:pt idx="4">
                  <c:v>16112.86</c:v>
                </c:pt>
                <c:pt idx="5">
                  <c:v>16270</c:v>
                </c:pt>
                <c:pt idx="6">
                  <c:v>16149.11</c:v>
                </c:pt>
                <c:pt idx="7">
                  <c:v>15849.99</c:v>
                </c:pt>
                <c:pt idx="8">
                  <c:v>14935.39</c:v>
                </c:pt>
                <c:pt idx="9">
                  <c:v>14372.94</c:v>
                </c:pt>
                <c:pt idx="10">
                  <c:v>13761.35</c:v>
                </c:pt>
                <c:pt idx="11">
                  <c:v>13417.54</c:v>
                </c:pt>
                <c:pt idx="12">
                  <c:v>13507.45</c:v>
                </c:pt>
              </c:numCache>
            </c:numRef>
          </c:val>
          <c:smooth val="1"/>
        </c:ser>
        <c:ser>
          <c:idx val="3"/>
          <c:order val="3"/>
          <c:tx>
            <c:strRef>
              <c:f>05_Forecast_Backtest!E4</c:f>
              <c:strCache>
                <c:ptCount val="1"/>
                <c:pt idx="0">
                  <c:v>SARIMA Forecast</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05_Forecast_Backtest!$A$5:$A$17</c:f>
              <c:strCache>
                <c:ptCount val="13"/>
                <c:pt idx="0">
                  <c:v>91</c:v>
                </c:pt>
                <c:pt idx="1">
                  <c:v>92</c:v>
                </c:pt>
                <c:pt idx="2">
                  <c:v>93</c:v>
                </c:pt>
                <c:pt idx="3">
                  <c:v>94</c:v>
                </c:pt>
                <c:pt idx="4">
                  <c:v>95</c:v>
                </c:pt>
                <c:pt idx="5">
                  <c:v>96</c:v>
                </c:pt>
                <c:pt idx="6">
                  <c:v>97</c:v>
                </c:pt>
                <c:pt idx="7">
                  <c:v>98</c:v>
                </c:pt>
                <c:pt idx="8">
                  <c:v>99</c:v>
                </c:pt>
                <c:pt idx="9">
                  <c:v>100</c:v>
                </c:pt>
                <c:pt idx="10">
                  <c:v>101</c:v>
                </c:pt>
                <c:pt idx="11">
                  <c:v>102</c:v>
                </c:pt>
                <c:pt idx="12">
                  <c:v>103</c:v>
                </c:pt>
              </c:strCache>
            </c:strRef>
          </c:cat>
          <c:val>
            <c:numRef>
              <c:f>05_Forecast_Backtest!$E$5:$E$17</c:f>
              <c:numCache>
                <c:formatCode>General</c:formatCode>
                <c:ptCount val="13"/>
                <c:pt idx="0">
                  <c:v>12193.19</c:v>
                </c:pt>
                <c:pt idx="1">
                  <c:v>12547.84</c:v>
                </c:pt>
                <c:pt idx="2">
                  <c:v>13683.07</c:v>
                </c:pt>
                <c:pt idx="3">
                  <c:v>14746.27</c:v>
                </c:pt>
                <c:pt idx="4">
                  <c:v>15452.44</c:v>
                </c:pt>
                <c:pt idx="5">
                  <c:v>15095.62</c:v>
                </c:pt>
                <c:pt idx="6">
                  <c:v>14476.46</c:v>
                </c:pt>
                <c:pt idx="7">
                  <c:v>13691.76</c:v>
                </c:pt>
                <c:pt idx="8">
                  <c:v>12537.5</c:v>
                </c:pt>
                <c:pt idx="9">
                  <c:v>11841.93</c:v>
                </c:pt>
                <c:pt idx="10">
                  <c:v>11325.13</c:v>
                </c:pt>
                <c:pt idx="11">
                  <c:v>11175.51</c:v>
                </c:pt>
                <c:pt idx="12">
                  <c:v>11684.95</c:v>
                </c:pt>
              </c:numCache>
            </c:numRef>
          </c:val>
          <c:smooth val="1"/>
        </c:ser>
        <c:hiLowLines>
          <c:spPr>
            <a:ln w="0">
              <a:noFill/>
            </a:ln>
          </c:spPr>
        </c:hiLowLines>
        <c:marker val="0"/>
        <c:axId val="4857842"/>
        <c:axId val="98709755"/>
      </c:lineChart>
      <c:catAx>
        <c:axId val="485784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8709755"/>
        <c:crosses val="autoZero"/>
        <c:auto val="1"/>
        <c:lblAlgn val="ctr"/>
        <c:lblOffset val="100"/>
        <c:noMultiLvlLbl val="0"/>
      </c:catAx>
      <c:valAx>
        <c:axId val="98709755"/>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85784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Live Monte Carlo: Mean vs P90 vs P99 Cost by Scenario</a:t>
            </a:r>
          </a:p>
        </c:rich>
      </c:tx>
      <c:overlay val="0"/>
      <c:spPr>
        <a:noFill/>
        <a:ln w="0">
          <a:noFill/>
        </a:ln>
      </c:spPr>
    </c:title>
    <c:autoTitleDeleted val="0"/>
    <c:plotArea>
      <c:barChart>
        <c:barDir val="col"/>
        <c:grouping val="clustered"/>
        <c:varyColors val="0"/>
        <c:ser>
          <c:idx val="0"/>
          <c:order val="0"/>
          <c:tx>
            <c:strRef>
              <c:f>06_MonteCarlo_Simulation!B913</c:f>
              <c:strCache>
                <c:ptCount val="1"/>
                <c:pt idx="0">
                  <c:v>Mean Cost</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06_MonteCarlo_Simulation!$A$914:$A$916</c:f>
              <c:strCache>
                <c:ptCount val="3"/>
                <c:pt idx="0">
                  <c:v>A: Red Sea Rerouting</c:v>
                </c:pt>
                <c:pt idx="1">
                  <c:v>B: Tariff Shock</c:v>
                </c:pt>
                <c:pt idx="2">
                  <c:v>C: Cotton Price Spike</c:v>
                </c:pt>
              </c:strCache>
            </c:strRef>
          </c:cat>
          <c:val>
            <c:numRef>
              <c:f>06_MonteCarlo_Simulation!$B$914:$B$916</c:f>
              <c:numCache>
                <c:formatCode>\$#,##0</c:formatCode>
                <c:ptCount val="3"/>
                <c:pt idx="0">
                  <c:v>1824052.55512455</c:v>
                </c:pt>
                <c:pt idx="1">
                  <c:v>242712.668624101</c:v>
                </c:pt>
                <c:pt idx="2">
                  <c:v>195761.88972268</c:v>
                </c:pt>
              </c:numCache>
            </c:numRef>
          </c:val>
        </c:ser>
        <c:ser>
          <c:idx val="1"/>
          <c:order val="1"/>
          <c:tx>
            <c:strRef>
              <c:f>06_MonteCarlo_Simulation!F913</c:f>
              <c:strCache>
                <c:ptCount val="1"/>
                <c:pt idx="0">
                  <c:v>P99 (tail risk)</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06_MonteCarlo_Simulation!$A$914:$A$916</c:f>
              <c:strCache>
                <c:ptCount val="3"/>
                <c:pt idx="0">
                  <c:v>A: Red Sea Rerouting</c:v>
                </c:pt>
                <c:pt idx="1">
                  <c:v>B: Tariff Shock</c:v>
                </c:pt>
                <c:pt idx="2">
                  <c:v>C: Cotton Price Spike</c:v>
                </c:pt>
              </c:strCache>
            </c:strRef>
          </c:cat>
          <c:val>
            <c:numRef>
              <c:f>06_MonteCarlo_Simulation!$F$914:$F$916</c:f>
              <c:numCache>
                <c:formatCode>\$#,##0</c:formatCode>
                <c:ptCount val="3"/>
                <c:pt idx="0">
                  <c:v>3951057.44019344</c:v>
                </c:pt>
                <c:pt idx="1">
                  <c:v>397350.388168061</c:v>
                </c:pt>
                <c:pt idx="2">
                  <c:v>301935.043694274</c:v>
                </c:pt>
              </c:numCache>
            </c:numRef>
          </c:val>
        </c:ser>
        <c:gapWidth val="150"/>
        <c:overlap val="0"/>
        <c:axId val="62730825"/>
        <c:axId val="30802966"/>
      </c:barChart>
      <c:catAx>
        <c:axId val="6273082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0802966"/>
        <c:crosses val="autoZero"/>
        <c:auto val="1"/>
        <c:lblAlgn val="ctr"/>
        <c:lblOffset val="100"/>
        <c:noMultiLvlLbl val="0"/>
      </c:catAx>
      <c:valAx>
        <c:axId val="30802966"/>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273082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160920</xdr:rowOff>
    </xdr:from>
    <xdr:to>
      <xdr:col>20</xdr:col>
      <xdr:colOff>579960</xdr:colOff>
      <xdr:row>20</xdr:row>
      <xdr:rowOff>179280</xdr:rowOff>
    </xdr:to>
    <xdr:graphicFrame>
      <xdr:nvGraphicFramePr>
        <xdr:cNvPr id="0" name="Chart 1"/>
        <xdr:cNvGraphicFramePr/>
      </xdr:nvGraphicFramePr>
      <xdr:xfrm>
        <a:off x="12453120" y="570600"/>
        <a:ext cx="7917840" cy="3590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160920</xdr:rowOff>
    </xdr:from>
    <xdr:to>
      <xdr:col>19</xdr:col>
      <xdr:colOff>471600</xdr:colOff>
      <xdr:row>19</xdr:row>
      <xdr:rowOff>10080</xdr:rowOff>
    </xdr:to>
    <xdr:graphicFrame>
      <xdr:nvGraphicFramePr>
        <xdr:cNvPr id="1" name="Chart 1"/>
        <xdr:cNvGraphicFramePr/>
      </xdr:nvGraphicFramePr>
      <xdr:xfrm>
        <a:off x="9069840" y="570600"/>
        <a:ext cx="7198200" cy="3230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7</xdr:row>
      <xdr:rowOff>39600</xdr:rowOff>
    </xdr:from>
    <xdr:to>
      <xdr:col>21</xdr:col>
      <xdr:colOff>472320</xdr:colOff>
      <xdr:row>23</xdr:row>
      <xdr:rowOff>118080</xdr:rowOff>
    </xdr:to>
    <xdr:graphicFrame>
      <xdr:nvGraphicFramePr>
        <xdr:cNvPr id="2" name="Chart 1"/>
        <xdr:cNvGraphicFramePr/>
      </xdr:nvGraphicFramePr>
      <xdr:xfrm>
        <a:off x="8976240" y="1706400"/>
        <a:ext cx="7198920" cy="359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5"/>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15" hidden="false" customHeight="true" outlineLevel="0" collapsed="false">
      <c r="A5" s="4" t="s">
        <v>3</v>
      </c>
    </row>
    <row r="6" customFormat="false" ht="15" hidden="false" customHeight="true" outlineLevel="0" collapsed="false">
      <c r="A6" s="4" t="s">
        <v>4</v>
      </c>
    </row>
    <row r="7" customFormat="false" ht="15" hidden="false" customHeight="true" outlineLevel="0" collapsed="false">
      <c r="A7" s="4" t="s">
        <v>5</v>
      </c>
    </row>
    <row r="8" customFormat="false" ht="15" hidden="false" customHeight="true" outlineLevel="0" collapsed="false">
      <c r="A8" s="4" t="s">
        <v>6</v>
      </c>
    </row>
    <row r="9" customFormat="false" ht="15" hidden="false" customHeight="true" outlineLevel="0" collapsed="false">
      <c r="A9" s="4" t="s">
        <v>7</v>
      </c>
    </row>
    <row r="10" customFormat="false" ht="15" hidden="false" customHeight="true" outlineLevel="0" collapsed="false">
      <c r="A10" s="4" t="s">
        <v>8</v>
      </c>
    </row>
    <row r="11" customFormat="false" ht="15" hidden="false" customHeight="true" outlineLevel="0" collapsed="false">
      <c r="A11" s="4" t="s">
        <v>9</v>
      </c>
    </row>
    <row r="12" customFormat="false" ht="15" hidden="false" customHeight="true" outlineLevel="0" collapsed="false">
      <c r="A12" s="4" t="s">
        <v>10</v>
      </c>
    </row>
    <row r="13" customFormat="false" ht="15" hidden="false" customHeight="true" outlineLevel="0" collapsed="false">
      <c r="A13" s="4" t="s">
        <v>11</v>
      </c>
    </row>
    <row r="14" customFormat="false" ht="15" hidden="false" customHeight="true" outlineLevel="0" collapsed="false">
      <c r="A14" s="4"/>
    </row>
    <row r="15" customFormat="false" ht="15" hidden="false" customHeight="true" outlineLevel="0" collapsed="false">
      <c r="A15" s="5" t="s">
        <v>12</v>
      </c>
    </row>
    <row r="16" customFormat="false" ht="15" hidden="false" customHeight="true" outlineLevel="0" collapsed="false">
      <c r="A16" s="4" t="s">
        <v>13</v>
      </c>
    </row>
    <row r="17" customFormat="false" ht="15" hidden="false" customHeight="true" outlineLevel="0" collapsed="false">
      <c r="A17" s="4" t="s">
        <v>14</v>
      </c>
    </row>
    <row r="18" customFormat="false" ht="15" hidden="false" customHeight="true" outlineLevel="0" collapsed="false">
      <c r="A18" s="4" t="s">
        <v>15</v>
      </c>
    </row>
    <row r="19" customFormat="false" ht="15" hidden="false" customHeight="true" outlineLevel="0" collapsed="false">
      <c r="A19" s="4" t="s">
        <v>16</v>
      </c>
    </row>
    <row r="20" customFormat="false" ht="15" hidden="false" customHeight="true" outlineLevel="0" collapsed="false">
      <c r="A20" s="4" t="s">
        <v>17</v>
      </c>
    </row>
    <row r="21" customFormat="false" ht="15" hidden="false" customHeight="true" outlineLevel="0" collapsed="false">
      <c r="A21" s="4" t="s">
        <v>18</v>
      </c>
    </row>
    <row r="22" customFormat="false" ht="15" hidden="false" customHeight="true" outlineLevel="0" collapsed="false">
      <c r="A22" s="4" t="s">
        <v>19</v>
      </c>
    </row>
    <row r="23" customFormat="false" ht="15" hidden="false" customHeight="true" outlineLevel="0" collapsed="false">
      <c r="A23" s="4" t="s">
        <v>20</v>
      </c>
    </row>
    <row r="24" customFormat="false" ht="15" hidden="false" customHeight="true" outlineLevel="0" collapsed="false">
      <c r="A24" s="4" t="s">
        <v>21</v>
      </c>
    </row>
    <row r="25" customFormat="false" ht="15" hidden="false" customHeight="true" outlineLevel="0" collapsed="false">
      <c r="A25" s="4" t="s">
        <v>22</v>
      </c>
    </row>
    <row r="26" customFormat="false" ht="15" hidden="false" customHeight="true" outlineLevel="0" collapsed="false">
      <c r="A26" s="4" t="s">
        <v>23</v>
      </c>
    </row>
    <row r="27" customFormat="false" ht="15" hidden="false" customHeight="true" outlineLevel="0" collapsed="false">
      <c r="A27" s="4" t="s">
        <v>24</v>
      </c>
    </row>
    <row r="28" customFormat="false" ht="15" hidden="false" customHeight="true" outlineLevel="0" collapsed="false">
      <c r="A28" s="4" t="s">
        <v>25</v>
      </c>
    </row>
    <row r="29" customFormat="false" ht="15" hidden="false" customHeight="true" outlineLevel="0" collapsed="false">
      <c r="A29" s="4"/>
    </row>
    <row r="30" customFormat="false" ht="15" hidden="false" customHeight="true" outlineLevel="0" collapsed="false">
      <c r="A30" s="5" t="s">
        <v>26</v>
      </c>
    </row>
    <row r="31" customFormat="false" ht="15" hidden="false" customHeight="true" outlineLevel="0" collapsed="false">
      <c r="A31" s="4" t="s">
        <v>27</v>
      </c>
    </row>
    <row r="32" customFormat="false" ht="15" hidden="false" customHeight="true" outlineLevel="0" collapsed="false">
      <c r="A32" s="4" t="s">
        <v>28</v>
      </c>
    </row>
    <row r="33" customFormat="false" ht="15" hidden="false" customHeight="true" outlineLevel="0" collapsed="false">
      <c r="A33" s="4" t="s">
        <v>29</v>
      </c>
    </row>
    <row r="34" customFormat="false" ht="15" hidden="false" customHeight="true" outlineLevel="0" collapsed="false">
      <c r="A34" s="4"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16"/>
    <col collapsed="false" customWidth="true" hidden="false" outlineLevel="0" max="4" min="4" style="1" width="45"/>
    <col collapsed="false" customWidth="true" hidden="false" outlineLevel="0" max="6" min="5" style="1" width="16"/>
    <col collapsed="false" customWidth="true" hidden="false" outlineLevel="0" max="7" min="7" style="1" width="45"/>
  </cols>
  <sheetData>
    <row r="1" customFormat="false" ht="17.25" hidden="false" customHeight="true" outlineLevel="0" collapsed="false">
      <c r="A1" s="2" t="s">
        <v>31</v>
      </c>
    </row>
    <row r="2" customFormat="false" ht="15" hidden="false" customHeight="true" outlineLevel="0" collapsed="false">
      <c r="A2" s="4" t="s">
        <v>32</v>
      </c>
    </row>
    <row r="4" customFormat="false" ht="26.25" hidden="false" customHeight="true" outlineLevel="0" collapsed="false">
      <c r="A4" s="6" t="s">
        <v>33</v>
      </c>
      <c r="B4" s="6" t="s">
        <v>34</v>
      </c>
      <c r="C4" s="6" t="s">
        <v>35</v>
      </c>
      <c r="D4" s="6" t="s">
        <v>36</v>
      </c>
      <c r="E4" s="6" t="s">
        <v>37</v>
      </c>
      <c r="F4" s="6" t="s">
        <v>38</v>
      </c>
      <c r="G4" s="6" t="s">
        <v>39</v>
      </c>
    </row>
    <row r="5" customFormat="false" ht="15" hidden="false" customHeight="true" outlineLevel="0" collapsed="false">
      <c r="A5" s="7" t="s">
        <v>40</v>
      </c>
      <c r="B5" s="7" t="n">
        <v>1420</v>
      </c>
      <c r="C5" s="7" t="s">
        <v>41</v>
      </c>
      <c r="D5" s="7" t="s">
        <v>42</v>
      </c>
      <c r="E5" s="7" t="n">
        <v>76.5</v>
      </c>
      <c r="F5" s="7" t="s">
        <v>41</v>
      </c>
      <c r="G5" s="7" t="s">
        <v>42</v>
      </c>
    </row>
    <row r="6" customFormat="false" ht="15" hidden="false" customHeight="true" outlineLevel="0" collapsed="false">
      <c r="A6" s="8" t="s">
        <v>43</v>
      </c>
      <c r="B6" s="8" t="n">
        <v>1413</v>
      </c>
      <c r="C6" s="8" t="s">
        <v>44</v>
      </c>
      <c r="D6" s="8" t="s">
        <v>45</v>
      </c>
      <c r="E6" s="8" t="n">
        <v>75.9</v>
      </c>
      <c r="F6" s="8" t="s">
        <v>44</v>
      </c>
      <c r="G6" s="8" t="s">
        <v>45</v>
      </c>
    </row>
    <row r="7" customFormat="false" ht="15" hidden="false" customHeight="true" outlineLevel="0" collapsed="false">
      <c r="A7" s="8" t="s">
        <v>46</v>
      </c>
      <c r="B7" s="8" t="n">
        <v>1452</v>
      </c>
      <c r="C7" s="8" t="s">
        <v>44</v>
      </c>
      <c r="D7" s="8" t="s">
        <v>45</v>
      </c>
      <c r="E7" s="8" t="n">
        <v>74.26</v>
      </c>
      <c r="F7" s="8" t="s">
        <v>44</v>
      </c>
      <c r="G7" s="8" t="s">
        <v>45</v>
      </c>
    </row>
    <row r="8" customFormat="false" ht="15" hidden="false" customHeight="true" outlineLevel="0" collapsed="false">
      <c r="A8" s="7" t="s">
        <v>47</v>
      </c>
      <c r="B8" s="7" t="n">
        <v>1496</v>
      </c>
      <c r="C8" s="7" t="s">
        <v>44</v>
      </c>
      <c r="D8" s="7" t="s">
        <v>45</v>
      </c>
      <c r="E8" s="7" t="n">
        <v>76.5</v>
      </c>
      <c r="F8" s="7" t="s">
        <v>41</v>
      </c>
      <c r="G8" s="7" t="s">
        <v>48</v>
      </c>
    </row>
    <row r="9" customFormat="false" ht="15" hidden="false" customHeight="true" outlineLevel="0" collapsed="false">
      <c r="A9" s="8" t="s">
        <v>49</v>
      </c>
      <c r="B9" s="8" t="n">
        <v>1408</v>
      </c>
      <c r="C9" s="8" t="s">
        <v>44</v>
      </c>
      <c r="D9" s="8" t="s">
        <v>45</v>
      </c>
      <c r="E9" s="8" t="n">
        <v>73.32</v>
      </c>
      <c r="F9" s="8" t="s">
        <v>44</v>
      </c>
      <c r="G9" s="8" t="s">
        <v>45</v>
      </c>
    </row>
    <row r="10" customFormat="false" ht="15" hidden="false" customHeight="true" outlineLevel="0" collapsed="false">
      <c r="A10" s="7" t="s">
        <v>50</v>
      </c>
      <c r="B10" s="7" t="n">
        <v>1420</v>
      </c>
      <c r="C10" s="7" t="s">
        <v>41</v>
      </c>
      <c r="D10" s="7" t="s">
        <v>51</v>
      </c>
      <c r="E10" s="7" t="n">
        <v>69.44</v>
      </c>
      <c r="F10" s="7" t="s">
        <v>44</v>
      </c>
      <c r="G10" s="7" t="s">
        <v>45</v>
      </c>
    </row>
    <row r="11" customFormat="false" ht="15" hidden="false" customHeight="true" outlineLevel="0" collapsed="false">
      <c r="A11" s="8" t="s">
        <v>52</v>
      </c>
      <c r="B11" s="8" t="n">
        <v>1611</v>
      </c>
      <c r="C11" s="8" t="s">
        <v>44</v>
      </c>
      <c r="D11" s="8" t="s">
        <v>45</v>
      </c>
      <c r="E11" s="8" t="n">
        <v>65.9</v>
      </c>
      <c r="F11" s="8" t="s">
        <v>44</v>
      </c>
      <c r="G11" s="8" t="s">
        <v>45</v>
      </c>
    </row>
    <row r="12" customFormat="false" ht="15" hidden="false" customHeight="true" outlineLevel="0" collapsed="false">
      <c r="A12" s="8" t="s">
        <v>53</v>
      </c>
      <c r="B12" s="8" t="n">
        <v>1690</v>
      </c>
      <c r="C12" s="8" t="s">
        <v>44</v>
      </c>
      <c r="D12" s="8" t="s">
        <v>45</v>
      </c>
      <c r="E12" s="8" t="n">
        <v>61.24</v>
      </c>
      <c r="F12" s="8" t="s">
        <v>44</v>
      </c>
      <c r="G12" s="8" t="s">
        <v>45</v>
      </c>
    </row>
    <row r="13" customFormat="false" ht="15" hidden="false" customHeight="true" outlineLevel="0" collapsed="false">
      <c r="A13" s="7" t="s">
        <v>54</v>
      </c>
      <c r="B13" s="7" t="n">
        <v>1744</v>
      </c>
      <c r="C13" s="7" t="s">
        <v>44</v>
      </c>
      <c r="D13" s="7" t="s">
        <v>45</v>
      </c>
      <c r="E13" s="7" t="n">
        <v>60</v>
      </c>
      <c r="F13" s="7" t="s">
        <v>41</v>
      </c>
      <c r="G13" s="7" t="s">
        <v>55</v>
      </c>
    </row>
    <row r="14" customFormat="false" ht="15" hidden="false" customHeight="true" outlineLevel="0" collapsed="false">
      <c r="A14" s="8" t="s">
        <v>56</v>
      </c>
      <c r="B14" s="8" t="n">
        <v>1943</v>
      </c>
      <c r="C14" s="8" t="s">
        <v>44</v>
      </c>
      <c r="D14" s="8" t="s">
        <v>45</v>
      </c>
      <c r="E14" s="8" t="n">
        <v>59.46</v>
      </c>
      <c r="F14" s="8" t="s">
        <v>44</v>
      </c>
      <c r="G14" s="8" t="s">
        <v>45</v>
      </c>
    </row>
    <row r="15" customFormat="false" ht="15" hidden="false" customHeight="true" outlineLevel="0" collapsed="false">
      <c r="A15" s="8" t="s">
        <v>57</v>
      </c>
      <c r="B15" s="8" t="n">
        <v>2022</v>
      </c>
      <c r="C15" s="8" t="s">
        <v>44</v>
      </c>
      <c r="D15" s="8" t="s">
        <v>45</v>
      </c>
      <c r="E15" s="8" t="n">
        <v>58.78</v>
      </c>
      <c r="F15" s="8" t="s">
        <v>44</v>
      </c>
      <c r="G15" s="8" t="s">
        <v>45</v>
      </c>
    </row>
    <row r="16" customFormat="false" ht="15" hidden="false" customHeight="true" outlineLevel="0" collapsed="false">
      <c r="A16" s="8" t="s">
        <v>58</v>
      </c>
      <c r="B16" s="8" t="n">
        <v>2174</v>
      </c>
      <c r="C16" s="8" t="s">
        <v>44</v>
      </c>
      <c r="D16" s="8" t="s">
        <v>45</v>
      </c>
      <c r="E16" s="8" t="n">
        <v>59.42</v>
      </c>
      <c r="F16" s="8" t="s">
        <v>44</v>
      </c>
      <c r="G16" s="8" t="s">
        <v>45</v>
      </c>
    </row>
    <row r="17" customFormat="false" ht="15" hidden="false" customHeight="true" outlineLevel="0" collapsed="false">
      <c r="A17" s="8" t="s">
        <v>59</v>
      </c>
      <c r="B17" s="8" t="n">
        <v>2402</v>
      </c>
      <c r="C17" s="8" t="s">
        <v>44</v>
      </c>
      <c r="D17" s="8" t="s">
        <v>45</v>
      </c>
      <c r="E17" s="8" t="n">
        <v>59.97</v>
      </c>
      <c r="F17" s="8" t="s">
        <v>44</v>
      </c>
      <c r="G17" s="8" t="s">
        <v>45</v>
      </c>
    </row>
    <row r="18" customFormat="false" ht="15" hidden="false" customHeight="true" outlineLevel="0" collapsed="false">
      <c r="A18" s="8" t="s">
        <v>60</v>
      </c>
      <c r="B18" s="8" t="n">
        <v>2395</v>
      </c>
      <c r="C18" s="8" t="s">
        <v>44</v>
      </c>
      <c r="D18" s="8" t="s">
        <v>45</v>
      </c>
      <c r="E18" s="8" t="n">
        <v>61.6</v>
      </c>
      <c r="F18" s="8" t="s">
        <v>44</v>
      </c>
      <c r="G18" s="8" t="s">
        <v>45</v>
      </c>
    </row>
    <row r="19" customFormat="false" ht="15" hidden="false" customHeight="true" outlineLevel="0" collapsed="false">
      <c r="A19" s="8" t="s">
        <v>61</v>
      </c>
      <c r="B19" s="8" t="n">
        <v>2587</v>
      </c>
      <c r="C19" s="8" t="s">
        <v>44</v>
      </c>
      <c r="D19" s="8" t="s">
        <v>45</v>
      </c>
      <c r="E19" s="8" t="n">
        <v>59.44</v>
      </c>
      <c r="F19" s="8" t="s">
        <v>44</v>
      </c>
      <c r="G19" s="8" t="s">
        <v>45</v>
      </c>
    </row>
    <row r="20" customFormat="false" ht="15" hidden="false" customHeight="true" outlineLevel="0" collapsed="false">
      <c r="A20" s="8" t="s">
        <v>62</v>
      </c>
      <c r="B20" s="8" t="n">
        <v>2909</v>
      </c>
      <c r="C20" s="8" t="s">
        <v>44</v>
      </c>
      <c r="D20" s="8" t="s">
        <v>45</v>
      </c>
      <c r="E20" s="8" t="n">
        <v>59.41</v>
      </c>
      <c r="F20" s="8" t="s">
        <v>44</v>
      </c>
      <c r="G20" s="8" t="s">
        <v>45</v>
      </c>
    </row>
    <row r="21" customFormat="false" ht="15" hidden="false" customHeight="true" outlineLevel="0" collapsed="false">
      <c r="A21" s="8" t="s">
        <v>63</v>
      </c>
      <c r="B21" s="8" t="n">
        <v>3078</v>
      </c>
      <c r="C21" s="8" t="s">
        <v>44</v>
      </c>
      <c r="D21" s="8" t="s">
        <v>45</v>
      </c>
      <c r="E21" s="8" t="n">
        <v>58.89</v>
      </c>
      <c r="F21" s="8" t="s">
        <v>44</v>
      </c>
      <c r="G21" s="8" t="s">
        <v>45</v>
      </c>
    </row>
    <row r="22" customFormat="false" ht="15" hidden="false" customHeight="true" outlineLevel="0" collapsed="false">
      <c r="A22" s="8" t="s">
        <v>64</v>
      </c>
      <c r="B22" s="8" t="n">
        <v>3477</v>
      </c>
      <c r="C22" s="8" t="s">
        <v>44</v>
      </c>
      <c r="D22" s="8" t="s">
        <v>45</v>
      </c>
      <c r="E22" s="8" t="n">
        <v>56.59</v>
      </c>
      <c r="F22" s="8" t="s">
        <v>44</v>
      </c>
      <c r="G22" s="8" t="s">
        <v>45</v>
      </c>
    </row>
    <row r="23" customFormat="false" ht="15" hidden="false" customHeight="true" outlineLevel="0" collapsed="false">
      <c r="A23" s="8" t="s">
        <v>65</v>
      </c>
      <c r="B23" s="8" t="n">
        <v>3580</v>
      </c>
      <c r="C23" s="8" t="s">
        <v>44</v>
      </c>
      <c r="D23" s="8" t="s">
        <v>45</v>
      </c>
      <c r="E23" s="8" t="n">
        <v>58.7</v>
      </c>
      <c r="F23" s="8" t="s">
        <v>44</v>
      </c>
      <c r="G23" s="8" t="s">
        <v>45</v>
      </c>
    </row>
    <row r="24" customFormat="false" ht="15" hidden="false" customHeight="true" outlineLevel="0" collapsed="false">
      <c r="A24" s="7" t="s">
        <v>66</v>
      </c>
      <c r="B24" s="7" t="n">
        <v>3788</v>
      </c>
      <c r="C24" s="7" t="s">
        <v>44</v>
      </c>
      <c r="D24" s="7" t="s">
        <v>45</v>
      </c>
      <c r="E24" s="7" t="n">
        <v>58.6</v>
      </c>
      <c r="F24" s="7" t="s">
        <v>41</v>
      </c>
      <c r="G24" s="7" t="s">
        <v>67</v>
      </c>
    </row>
    <row r="25" customFormat="false" ht="15" hidden="false" customHeight="true" outlineLevel="0" collapsed="false">
      <c r="A25" s="8" t="s">
        <v>68</v>
      </c>
      <c r="B25" s="8" t="n">
        <v>4516</v>
      </c>
      <c r="C25" s="8" t="s">
        <v>44</v>
      </c>
      <c r="D25" s="8" t="s">
        <v>45</v>
      </c>
      <c r="E25" s="8" t="n">
        <v>63.65</v>
      </c>
      <c r="F25" s="8" t="s">
        <v>44</v>
      </c>
      <c r="G25" s="8" t="s">
        <v>45</v>
      </c>
    </row>
    <row r="26" customFormat="false" ht="15" hidden="false" customHeight="true" outlineLevel="0" collapsed="false">
      <c r="A26" s="8" t="s">
        <v>69</v>
      </c>
      <c r="B26" s="8" t="n">
        <v>4582</v>
      </c>
      <c r="C26" s="8" t="s">
        <v>44</v>
      </c>
      <c r="D26" s="8" t="s">
        <v>45</v>
      </c>
      <c r="E26" s="8" t="n">
        <v>62.48</v>
      </c>
      <c r="F26" s="8" t="s">
        <v>44</v>
      </c>
      <c r="G26" s="8" t="s">
        <v>45</v>
      </c>
    </row>
    <row r="27" customFormat="false" ht="15" hidden="false" customHeight="true" outlineLevel="0" collapsed="false">
      <c r="A27" s="8" t="s">
        <v>70</v>
      </c>
      <c r="B27" s="8" t="n">
        <v>4989</v>
      </c>
      <c r="C27" s="8" t="s">
        <v>44</v>
      </c>
      <c r="D27" s="8" t="s">
        <v>45</v>
      </c>
      <c r="E27" s="8" t="n">
        <v>65.32</v>
      </c>
      <c r="F27" s="8" t="s">
        <v>44</v>
      </c>
      <c r="G27" s="8" t="s">
        <v>45</v>
      </c>
    </row>
    <row r="28" customFormat="false" ht="15" hidden="false" customHeight="true" outlineLevel="0" collapsed="false">
      <c r="A28" s="8" t="s">
        <v>71</v>
      </c>
      <c r="B28" s="8" t="n">
        <v>5085</v>
      </c>
      <c r="C28" s="8" t="s">
        <v>44</v>
      </c>
      <c r="D28" s="8" t="s">
        <v>45</v>
      </c>
      <c r="E28" s="8" t="n">
        <v>67.09</v>
      </c>
      <c r="F28" s="8" t="s">
        <v>44</v>
      </c>
      <c r="G28" s="8" t="s">
        <v>45</v>
      </c>
    </row>
    <row r="29" customFormat="false" ht="15" hidden="false" customHeight="true" outlineLevel="0" collapsed="false">
      <c r="A29" s="8" t="s">
        <v>72</v>
      </c>
      <c r="B29" s="8" t="n">
        <v>5658</v>
      </c>
      <c r="C29" s="8" t="s">
        <v>44</v>
      </c>
      <c r="D29" s="8" t="s">
        <v>45</v>
      </c>
      <c r="E29" s="8" t="n">
        <v>67.87</v>
      </c>
      <c r="F29" s="8" t="s">
        <v>44</v>
      </c>
      <c r="G29" s="8" t="s">
        <v>45</v>
      </c>
    </row>
    <row r="30" customFormat="false" ht="15" hidden="false" customHeight="true" outlineLevel="0" collapsed="false">
      <c r="A30" s="8" t="s">
        <v>73</v>
      </c>
      <c r="B30" s="8" t="n">
        <v>6241</v>
      </c>
      <c r="C30" s="8" t="s">
        <v>44</v>
      </c>
      <c r="D30" s="8" t="s">
        <v>45</v>
      </c>
      <c r="E30" s="8" t="n">
        <v>73.58</v>
      </c>
      <c r="F30" s="8" t="s">
        <v>44</v>
      </c>
      <c r="G30" s="8" t="s">
        <v>45</v>
      </c>
    </row>
    <row r="31" customFormat="false" ht="15" hidden="false" customHeight="true" outlineLevel="0" collapsed="false">
      <c r="A31" s="8" t="s">
        <v>74</v>
      </c>
      <c r="B31" s="8" t="n">
        <v>6384</v>
      </c>
      <c r="C31" s="8" t="s">
        <v>44</v>
      </c>
      <c r="D31" s="8" t="s">
        <v>45</v>
      </c>
      <c r="E31" s="8" t="n">
        <v>75.34</v>
      </c>
      <c r="F31" s="8" t="s">
        <v>44</v>
      </c>
      <c r="G31" s="8" t="s">
        <v>45</v>
      </c>
    </row>
    <row r="32" customFormat="false" ht="15" hidden="false" customHeight="true" outlineLevel="0" collapsed="false">
      <c r="A32" s="8" t="s">
        <v>75</v>
      </c>
      <c r="B32" s="8" t="n">
        <v>7264</v>
      </c>
      <c r="C32" s="8" t="s">
        <v>44</v>
      </c>
      <c r="D32" s="8" t="s">
        <v>45</v>
      </c>
      <c r="E32" s="8" t="n">
        <v>78.04</v>
      </c>
      <c r="F32" s="8" t="s">
        <v>44</v>
      </c>
      <c r="G32" s="8" t="s">
        <v>45</v>
      </c>
    </row>
    <row r="33" customFormat="false" ht="15" hidden="false" customHeight="true" outlineLevel="0" collapsed="false">
      <c r="A33" s="8" t="s">
        <v>76</v>
      </c>
      <c r="B33" s="8" t="n">
        <v>7547</v>
      </c>
      <c r="C33" s="8" t="s">
        <v>44</v>
      </c>
      <c r="D33" s="8" t="s">
        <v>45</v>
      </c>
      <c r="E33" s="8" t="n">
        <v>78</v>
      </c>
      <c r="F33" s="8" t="s">
        <v>44</v>
      </c>
      <c r="G33" s="8" t="s">
        <v>45</v>
      </c>
    </row>
    <row r="34" customFormat="false" ht="15" hidden="false" customHeight="true" outlineLevel="0" collapsed="false">
      <c r="A34" s="8" t="s">
        <v>77</v>
      </c>
      <c r="B34" s="8" t="n">
        <v>8223</v>
      </c>
      <c r="C34" s="8" t="s">
        <v>44</v>
      </c>
      <c r="D34" s="8" t="s">
        <v>45</v>
      </c>
      <c r="E34" s="8" t="n">
        <v>84.54</v>
      </c>
      <c r="F34" s="8" t="s">
        <v>44</v>
      </c>
      <c r="G34" s="8" t="s">
        <v>45</v>
      </c>
    </row>
    <row r="35" customFormat="false" ht="15" hidden="false" customHeight="true" outlineLevel="0" collapsed="false">
      <c r="A35" s="7" t="s">
        <v>78</v>
      </c>
      <c r="B35" s="7" t="n">
        <v>8745</v>
      </c>
      <c r="C35" s="7" t="s">
        <v>44</v>
      </c>
      <c r="D35" s="7" t="s">
        <v>45</v>
      </c>
      <c r="E35" s="7" t="n">
        <v>85.03</v>
      </c>
      <c r="F35" s="7" t="s">
        <v>41</v>
      </c>
      <c r="G35" s="7" t="s">
        <v>79</v>
      </c>
    </row>
    <row r="36" customFormat="false" ht="15" hidden="false" customHeight="true" outlineLevel="0" collapsed="false">
      <c r="A36" s="8" t="s">
        <v>80</v>
      </c>
      <c r="B36" s="8" t="n">
        <v>10252</v>
      </c>
      <c r="C36" s="8" t="s">
        <v>44</v>
      </c>
      <c r="D36" s="8" t="s">
        <v>45</v>
      </c>
      <c r="E36" s="8" t="n">
        <v>91.52</v>
      </c>
      <c r="F36" s="8" t="s">
        <v>44</v>
      </c>
      <c r="G36" s="8" t="s">
        <v>45</v>
      </c>
    </row>
    <row r="37" customFormat="false" ht="15" hidden="false" customHeight="true" outlineLevel="0" collapsed="false">
      <c r="A37" s="7" t="s">
        <v>81</v>
      </c>
      <c r="B37" s="7" t="n">
        <v>10377</v>
      </c>
      <c r="C37" s="7" t="s">
        <v>41</v>
      </c>
      <c r="D37" s="7" t="s">
        <v>82</v>
      </c>
      <c r="E37" s="7" t="n">
        <v>100.44</v>
      </c>
      <c r="F37" s="7" t="s">
        <v>44</v>
      </c>
      <c r="G37" s="7" t="s">
        <v>45</v>
      </c>
    </row>
    <row r="38" customFormat="false" ht="15" hidden="false" customHeight="true" outlineLevel="0" collapsed="false">
      <c r="A38" s="8" t="s">
        <v>83</v>
      </c>
      <c r="B38" s="8" t="n">
        <v>9743</v>
      </c>
      <c r="C38" s="8" t="s">
        <v>44</v>
      </c>
      <c r="D38" s="8" t="s">
        <v>45</v>
      </c>
      <c r="E38" s="8" t="n">
        <v>100.14</v>
      </c>
      <c r="F38" s="8" t="s">
        <v>44</v>
      </c>
      <c r="G38" s="8" t="s">
        <v>45</v>
      </c>
    </row>
    <row r="39" customFormat="false" ht="15" hidden="false" customHeight="true" outlineLevel="0" collapsed="false">
      <c r="A39" s="8" t="s">
        <v>84</v>
      </c>
      <c r="B39" s="8" t="n">
        <v>10139</v>
      </c>
      <c r="C39" s="8" t="s">
        <v>44</v>
      </c>
      <c r="D39" s="8" t="s">
        <v>45</v>
      </c>
      <c r="E39" s="8" t="n">
        <v>107.45</v>
      </c>
      <c r="F39" s="8" t="s">
        <v>44</v>
      </c>
      <c r="G39" s="8" t="s">
        <v>45</v>
      </c>
    </row>
    <row r="40" customFormat="false" ht="15" hidden="false" customHeight="true" outlineLevel="0" collapsed="false">
      <c r="A40" s="8" t="s">
        <v>85</v>
      </c>
      <c r="B40" s="8" t="n">
        <v>9198</v>
      </c>
      <c r="C40" s="8" t="s">
        <v>44</v>
      </c>
      <c r="D40" s="8" t="s">
        <v>45</v>
      </c>
      <c r="E40" s="8" t="n">
        <v>115.61</v>
      </c>
      <c r="F40" s="8" t="s">
        <v>44</v>
      </c>
      <c r="G40" s="8" t="s">
        <v>45</v>
      </c>
    </row>
    <row r="41" customFormat="false" ht="15" hidden="false" customHeight="true" outlineLevel="0" collapsed="false">
      <c r="A41" s="8" t="s">
        <v>86</v>
      </c>
      <c r="B41" s="8" t="n">
        <v>9428</v>
      </c>
      <c r="C41" s="8" t="s">
        <v>44</v>
      </c>
      <c r="D41" s="8" t="s">
        <v>45</v>
      </c>
      <c r="E41" s="8" t="n">
        <v>121.51</v>
      </c>
      <c r="F41" s="8" t="s">
        <v>44</v>
      </c>
      <c r="G41" s="8" t="s">
        <v>45</v>
      </c>
    </row>
    <row r="42" customFormat="false" ht="15" hidden="false" customHeight="true" outlineLevel="0" collapsed="false">
      <c r="A42" s="8" t="s">
        <v>87</v>
      </c>
      <c r="B42" s="8" t="n">
        <v>8492</v>
      </c>
      <c r="C42" s="8" t="s">
        <v>44</v>
      </c>
      <c r="D42" s="8" t="s">
        <v>45</v>
      </c>
      <c r="E42" s="8" t="n">
        <v>126.53</v>
      </c>
      <c r="F42" s="8" t="s">
        <v>44</v>
      </c>
      <c r="G42" s="8" t="s">
        <v>45</v>
      </c>
    </row>
    <row r="43" customFormat="false" ht="15" hidden="false" customHeight="true" outlineLevel="0" collapsed="false">
      <c r="A43" s="8" t="s">
        <v>88</v>
      </c>
      <c r="B43" s="8" t="n">
        <v>8490</v>
      </c>
      <c r="C43" s="8" t="s">
        <v>44</v>
      </c>
      <c r="D43" s="8" t="s">
        <v>45</v>
      </c>
      <c r="E43" s="8" t="n">
        <v>138.27</v>
      </c>
      <c r="F43" s="8" t="s">
        <v>44</v>
      </c>
      <c r="G43" s="8" t="s">
        <v>45</v>
      </c>
    </row>
    <row r="44" customFormat="false" ht="15" hidden="false" customHeight="true" outlineLevel="0" collapsed="false">
      <c r="A44" s="8" t="s">
        <v>89</v>
      </c>
      <c r="B44" s="8" t="n">
        <v>8734</v>
      </c>
      <c r="C44" s="8" t="s">
        <v>44</v>
      </c>
      <c r="D44" s="8" t="s">
        <v>45</v>
      </c>
      <c r="E44" s="8" t="n">
        <v>143.77</v>
      </c>
      <c r="F44" s="8" t="s">
        <v>44</v>
      </c>
      <c r="G44" s="8" t="s">
        <v>45</v>
      </c>
    </row>
    <row r="45" customFormat="false" ht="15" hidden="false" customHeight="true" outlineLevel="0" collapsed="false">
      <c r="A45" s="7" t="s">
        <v>90</v>
      </c>
      <c r="B45" s="7" t="n">
        <v>8675</v>
      </c>
      <c r="C45" s="7" t="s">
        <v>44</v>
      </c>
      <c r="D45" s="7" t="s">
        <v>45</v>
      </c>
      <c r="E45" s="7" t="n">
        <v>155.95</v>
      </c>
      <c r="F45" s="7" t="s">
        <v>41</v>
      </c>
      <c r="G45" s="7" t="s">
        <v>91</v>
      </c>
    </row>
    <row r="46" customFormat="false" ht="15" hidden="false" customHeight="true" outlineLevel="0" collapsed="false">
      <c r="A46" s="8" t="s">
        <v>92</v>
      </c>
      <c r="B46" s="8" t="n">
        <v>8287</v>
      </c>
      <c r="C46" s="8" t="s">
        <v>44</v>
      </c>
      <c r="D46" s="8" t="s">
        <v>45</v>
      </c>
      <c r="E46" s="8" t="n">
        <v>148.23</v>
      </c>
      <c r="F46" s="8" t="s">
        <v>44</v>
      </c>
      <c r="G46" s="8" t="s">
        <v>45</v>
      </c>
    </row>
    <row r="47" customFormat="false" ht="15" hidden="false" customHeight="true" outlineLevel="0" collapsed="false">
      <c r="A47" s="8" t="s">
        <v>93</v>
      </c>
      <c r="B47" s="8" t="n">
        <v>7999</v>
      </c>
      <c r="C47" s="8" t="s">
        <v>44</v>
      </c>
      <c r="D47" s="8" t="s">
        <v>45</v>
      </c>
      <c r="E47" s="8" t="n">
        <v>150.9</v>
      </c>
      <c r="F47" s="8" t="s">
        <v>44</v>
      </c>
      <c r="G47" s="8" t="s">
        <v>45</v>
      </c>
    </row>
    <row r="48" customFormat="false" ht="15" hidden="false" customHeight="true" outlineLevel="0" collapsed="false">
      <c r="A48" s="8" t="s">
        <v>94</v>
      </c>
      <c r="B48" s="8" t="n">
        <v>7741</v>
      </c>
      <c r="C48" s="8" t="s">
        <v>44</v>
      </c>
      <c r="D48" s="8" t="s">
        <v>45</v>
      </c>
      <c r="E48" s="8" t="n">
        <v>139.5</v>
      </c>
      <c r="F48" s="8" t="s">
        <v>44</v>
      </c>
      <c r="G48" s="8" t="s">
        <v>45</v>
      </c>
    </row>
    <row r="49" customFormat="false" ht="15" hidden="false" customHeight="true" outlineLevel="0" collapsed="false">
      <c r="A49" s="8" t="s">
        <v>95</v>
      </c>
      <c r="B49" s="8" t="n">
        <v>7227</v>
      </c>
      <c r="C49" s="8" t="s">
        <v>44</v>
      </c>
      <c r="D49" s="8" t="s">
        <v>45</v>
      </c>
      <c r="E49" s="8" t="n">
        <v>136.34</v>
      </c>
      <c r="F49" s="8" t="s">
        <v>44</v>
      </c>
      <c r="G49" s="8" t="s">
        <v>45</v>
      </c>
    </row>
    <row r="50" customFormat="false" ht="15" hidden="false" customHeight="true" outlineLevel="0" collapsed="false">
      <c r="A50" s="8" t="s">
        <v>96</v>
      </c>
      <c r="B50" s="8" t="n">
        <v>7243</v>
      </c>
      <c r="C50" s="8" t="s">
        <v>44</v>
      </c>
      <c r="D50" s="8" t="s">
        <v>45</v>
      </c>
      <c r="E50" s="8" t="n">
        <v>135.17</v>
      </c>
      <c r="F50" s="8" t="s">
        <v>44</v>
      </c>
      <c r="G50" s="8" t="s">
        <v>45</v>
      </c>
    </row>
    <row r="51" customFormat="false" ht="15" hidden="false" customHeight="true" outlineLevel="0" collapsed="false">
      <c r="A51" s="8" t="s">
        <v>97</v>
      </c>
      <c r="B51" s="8" t="n">
        <v>7121</v>
      </c>
      <c r="C51" s="8" t="s">
        <v>44</v>
      </c>
      <c r="D51" s="8" t="s">
        <v>45</v>
      </c>
      <c r="E51" s="8" t="n">
        <v>125.62</v>
      </c>
      <c r="F51" s="8" t="s">
        <v>44</v>
      </c>
      <c r="G51" s="8" t="s">
        <v>45</v>
      </c>
    </row>
    <row r="52" customFormat="false" ht="15" hidden="false" customHeight="true" outlineLevel="0" collapsed="false">
      <c r="A52" s="8" t="s">
        <v>98</v>
      </c>
      <c r="B52" s="8" t="n">
        <v>7318</v>
      </c>
      <c r="C52" s="8" t="s">
        <v>44</v>
      </c>
      <c r="D52" s="8" t="s">
        <v>45</v>
      </c>
      <c r="E52" s="8" t="n">
        <v>125.4</v>
      </c>
      <c r="F52" s="8" t="s">
        <v>44</v>
      </c>
      <c r="G52" s="8" t="s">
        <v>45</v>
      </c>
    </row>
    <row r="53" customFormat="false" ht="15" hidden="false" customHeight="true" outlineLevel="0" collapsed="false">
      <c r="A53" s="8" t="s">
        <v>99</v>
      </c>
      <c r="B53" s="8" t="n">
        <v>6957</v>
      </c>
      <c r="C53" s="8" t="s">
        <v>44</v>
      </c>
      <c r="D53" s="8" t="s">
        <v>45</v>
      </c>
      <c r="E53" s="8" t="n">
        <v>124.03</v>
      </c>
      <c r="F53" s="8" t="s">
        <v>44</v>
      </c>
      <c r="G53" s="8" t="s">
        <v>45</v>
      </c>
    </row>
    <row r="54" customFormat="false" ht="15" hidden="false" customHeight="true" outlineLevel="0" collapsed="false">
      <c r="A54" s="8" t="s">
        <v>100</v>
      </c>
      <c r="B54" s="8" t="n">
        <v>6283</v>
      </c>
      <c r="C54" s="8" t="s">
        <v>44</v>
      </c>
      <c r="D54" s="8" t="s">
        <v>45</v>
      </c>
      <c r="E54" s="8" t="n">
        <v>113.27</v>
      </c>
      <c r="F54" s="8" t="s">
        <v>44</v>
      </c>
      <c r="G54" s="8" t="s">
        <v>45</v>
      </c>
    </row>
    <row r="55" customFormat="false" ht="15" hidden="false" customHeight="true" outlineLevel="0" collapsed="false">
      <c r="A55" s="8" t="s">
        <v>101</v>
      </c>
      <c r="B55" s="8" t="n">
        <v>6614</v>
      </c>
      <c r="C55" s="8" t="s">
        <v>44</v>
      </c>
      <c r="D55" s="8" t="s">
        <v>45</v>
      </c>
      <c r="E55" s="8" t="n">
        <v>114.1</v>
      </c>
      <c r="F55" s="8" t="s">
        <v>44</v>
      </c>
      <c r="G55" s="8" t="s">
        <v>45</v>
      </c>
    </row>
    <row r="56" customFormat="false" ht="15" hidden="false" customHeight="true" outlineLevel="0" collapsed="false">
      <c r="A56" s="8" t="s">
        <v>102</v>
      </c>
      <c r="B56" s="8" t="n">
        <v>6284</v>
      </c>
      <c r="C56" s="8" t="s">
        <v>44</v>
      </c>
      <c r="D56" s="8" t="s">
        <v>45</v>
      </c>
      <c r="E56" s="8" t="n">
        <v>110.64</v>
      </c>
      <c r="F56" s="8" t="s">
        <v>44</v>
      </c>
      <c r="G56" s="8" t="s">
        <v>45</v>
      </c>
    </row>
    <row r="57" customFormat="false" ht="15" hidden="false" customHeight="true" outlineLevel="0" collapsed="false">
      <c r="A57" s="8" t="s">
        <v>103</v>
      </c>
      <c r="B57" s="8" t="n">
        <v>6064</v>
      </c>
      <c r="C57" s="8" t="s">
        <v>44</v>
      </c>
      <c r="D57" s="8" t="s">
        <v>45</v>
      </c>
      <c r="E57" s="8" t="n">
        <v>108.36</v>
      </c>
      <c r="F57" s="8" t="s">
        <v>44</v>
      </c>
      <c r="G57" s="8" t="s">
        <v>45</v>
      </c>
    </row>
    <row r="58" customFormat="false" ht="15" hidden="false" customHeight="true" outlineLevel="0" collapsed="false">
      <c r="A58" s="8" t="s">
        <v>104</v>
      </c>
      <c r="B58" s="8" t="n">
        <v>6180</v>
      </c>
      <c r="C58" s="8" t="s">
        <v>44</v>
      </c>
      <c r="D58" s="8" t="s">
        <v>45</v>
      </c>
      <c r="E58" s="8" t="n">
        <v>100.75</v>
      </c>
      <c r="F58" s="8" t="s">
        <v>44</v>
      </c>
      <c r="G58" s="8" t="s">
        <v>45</v>
      </c>
    </row>
    <row r="59" customFormat="false" ht="15" hidden="false" customHeight="true" outlineLevel="0" collapsed="false">
      <c r="A59" s="8" t="s">
        <v>105</v>
      </c>
      <c r="B59" s="8" t="n">
        <v>6111</v>
      </c>
      <c r="C59" s="8" t="s">
        <v>44</v>
      </c>
      <c r="D59" s="8" t="s">
        <v>45</v>
      </c>
      <c r="E59" s="8" t="n">
        <v>97.49</v>
      </c>
      <c r="F59" s="8" t="s">
        <v>44</v>
      </c>
      <c r="G59" s="8" t="s">
        <v>45</v>
      </c>
    </row>
    <row r="60" customFormat="false" ht="15" hidden="false" customHeight="true" outlineLevel="0" collapsed="false">
      <c r="A60" s="8" t="s">
        <v>106</v>
      </c>
      <c r="B60" s="8" t="n">
        <v>5933</v>
      </c>
      <c r="C60" s="8" t="s">
        <v>44</v>
      </c>
      <c r="D60" s="8" t="s">
        <v>45</v>
      </c>
      <c r="E60" s="8" t="n">
        <v>97.97</v>
      </c>
      <c r="F60" s="8" t="s">
        <v>44</v>
      </c>
      <c r="G60" s="8" t="s">
        <v>45</v>
      </c>
    </row>
    <row r="61" customFormat="false" ht="15" hidden="false" customHeight="true" outlineLevel="0" collapsed="false">
      <c r="A61" s="8" t="s">
        <v>107</v>
      </c>
      <c r="B61" s="8" t="n">
        <v>5433</v>
      </c>
      <c r="C61" s="8" t="s">
        <v>44</v>
      </c>
      <c r="D61" s="8" t="s">
        <v>45</v>
      </c>
      <c r="E61" s="8" t="n">
        <v>94.44</v>
      </c>
      <c r="F61" s="8" t="s">
        <v>44</v>
      </c>
      <c r="G61" s="8" t="s">
        <v>45</v>
      </c>
    </row>
    <row r="62" customFormat="false" ht="15" hidden="false" customHeight="true" outlineLevel="0" collapsed="false">
      <c r="A62" s="8" t="s">
        <v>108</v>
      </c>
      <c r="B62" s="8" t="n">
        <v>5398</v>
      </c>
      <c r="C62" s="8" t="s">
        <v>44</v>
      </c>
      <c r="D62" s="8" t="s">
        <v>45</v>
      </c>
      <c r="E62" s="8" t="n">
        <v>91.45</v>
      </c>
      <c r="F62" s="8" t="s">
        <v>44</v>
      </c>
      <c r="G62" s="8" t="s">
        <v>45</v>
      </c>
    </row>
    <row r="63" customFormat="false" ht="15" hidden="false" customHeight="true" outlineLevel="0" collapsed="false">
      <c r="A63" s="8" t="s">
        <v>109</v>
      </c>
      <c r="B63" s="8" t="n">
        <v>5377</v>
      </c>
      <c r="C63" s="8" t="s">
        <v>44</v>
      </c>
      <c r="D63" s="8" t="s">
        <v>45</v>
      </c>
      <c r="E63" s="8" t="n">
        <v>88.72</v>
      </c>
      <c r="F63" s="8" t="s">
        <v>44</v>
      </c>
      <c r="G63" s="8" t="s">
        <v>45</v>
      </c>
    </row>
    <row r="64" customFormat="false" ht="15" hidden="false" customHeight="true" outlineLevel="0" collapsed="false">
      <c r="A64" s="8" t="s">
        <v>110</v>
      </c>
      <c r="B64" s="8" t="n">
        <v>5360</v>
      </c>
      <c r="C64" s="8" t="s">
        <v>44</v>
      </c>
      <c r="D64" s="8" t="s">
        <v>45</v>
      </c>
      <c r="E64" s="8" t="n">
        <v>84.24</v>
      </c>
      <c r="F64" s="8" t="s">
        <v>44</v>
      </c>
      <c r="G64" s="8" t="s">
        <v>45</v>
      </c>
    </row>
    <row r="65" customFormat="false" ht="15" hidden="false" customHeight="true" outlineLevel="0" collapsed="false">
      <c r="A65" s="8" t="s">
        <v>111</v>
      </c>
      <c r="B65" s="8" t="n">
        <v>4964</v>
      </c>
      <c r="C65" s="8" t="s">
        <v>44</v>
      </c>
      <c r="D65" s="8" t="s">
        <v>45</v>
      </c>
      <c r="E65" s="8" t="n">
        <v>83.08</v>
      </c>
      <c r="F65" s="8" t="s">
        <v>44</v>
      </c>
      <c r="G65" s="8" t="s">
        <v>45</v>
      </c>
    </row>
    <row r="66" customFormat="false" ht="15" hidden="false" customHeight="true" outlineLevel="0" collapsed="false">
      <c r="A66" s="8" t="s">
        <v>112</v>
      </c>
      <c r="B66" s="8" t="n">
        <v>4886</v>
      </c>
      <c r="C66" s="8" t="s">
        <v>44</v>
      </c>
      <c r="D66" s="8" t="s">
        <v>45</v>
      </c>
      <c r="E66" s="8" t="n">
        <v>80.54</v>
      </c>
      <c r="F66" s="8" t="s">
        <v>44</v>
      </c>
      <c r="G66" s="8" t="s">
        <v>45</v>
      </c>
    </row>
    <row r="67" customFormat="false" ht="15" hidden="false" customHeight="true" outlineLevel="0" collapsed="false">
      <c r="A67" s="8" t="s">
        <v>113</v>
      </c>
      <c r="B67" s="8" t="n">
        <v>4613</v>
      </c>
      <c r="C67" s="8" t="s">
        <v>44</v>
      </c>
      <c r="D67" s="8" t="s">
        <v>45</v>
      </c>
      <c r="E67" s="8" t="n">
        <v>76.58</v>
      </c>
      <c r="F67" s="8" t="s">
        <v>44</v>
      </c>
      <c r="G67" s="8" t="s">
        <v>45</v>
      </c>
    </row>
    <row r="68" customFormat="false" ht="15" hidden="false" customHeight="true" outlineLevel="0" collapsed="false">
      <c r="A68" s="8" t="s">
        <v>114</v>
      </c>
      <c r="B68" s="8" t="n">
        <v>4479</v>
      </c>
      <c r="C68" s="8" t="s">
        <v>44</v>
      </c>
      <c r="D68" s="8" t="s">
        <v>45</v>
      </c>
      <c r="E68" s="8" t="n">
        <v>78.03</v>
      </c>
      <c r="F68" s="8" t="s">
        <v>44</v>
      </c>
      <c r="G68" s="8" t="s">
        <v>45</v>
      </c>
    </row>
    <row r="69" customFormat="false" ht="15" hidden="false" customHeight="true" outlineLevel="0" collapsed="false">
      <c r="A69" s="8" t="s">
        <v>115</v>
      </c>
      <c r="B69" s="8" t="n">
        <v>4687</v>
      </c>
      <c r="C69" s="8" t="s">
        <v>44</v>
      </c>
      <c r="D69" s="8" t="s">
        <v>45</v>
      </c>
      <c r="E69" s="8" t="n">
        <v>73.6</v>
      </c>
      <c r="F69" s="8" t="s">
        <v>44</v>
      </c>
      <c r="G69" s="8" t="s">
        <v>45</v>
      </c>
    </row>
    <row r="70" customFormat="false" ht="15" hidden="false" customHeight="true" outlineLevel="0" collapsed="false">
      <c r="A70" s="8" t="s">
        <v>116</v>
      </c>
      <c r="B70" s="8" t="n">
        <v>4650</v>
      </c>
      <c r="C70" s="8" t="s">
        <v>44</v>
      </c>
      <c r="D70" s="8" t="s">
        <v>45</v>
      </c>
      <c r="E70" s="8" t="n">
        <v>68.92</v>
      </c>
      <c r="F70" s="8" t="s">
        <v>44</v>
      </c>
      <c r="G70" s="8" t="s">
        <v>45</v>
      </c>
    </row>
    <row r="71" customFormat="false" ht="15" hidden="false" customHeight="true" outlineLevel="0" collapsed="false">
      <c r="A71" s="8" t="s">
        <v>117</v>
      </c>
      <c r="B71" s="8" t="n">
        <v>4317</v>
      </c>
      <c r="C71" s="8" t="s">
        <v>44</v>
      </c>
      <c r="D71" s="8" t="s">
        <v>45</v>
      </c>
      <c r="E71" s="8" t="n">
        <v>69.33</v>
      </c>
      <c r="F71" s="8" t="s">
        <v>44</v>
      </c>
      <c r="G71" s="8" t="s">
        <v>45</v>
      </c>
    </row>
    <row r="72" customFormat="false" ht="15" hidden="false" customHeight="true" outlineLevel="0" collapsed="false">
      <c r="A72" s="7" t="s">
        <v>118</v>
      </c>
      <c r="B72" s="7" t="n">
        <v>4364</v>
      </c>
      <c r="C72" s="7" t="s">
        <v>44</v>
      </c>
      <c r="D72" s="7" t="s">
        <v>45</v>
      </c>
      <c r="E72" s="7" t="n">
        <v>66.26</v>
      </c>
      <c r="F72" s="7" t="s">
        <v>41</v>
      </c>
      <c r="G72" s="7" t="s">
        <v>119</v>
      </c>
    </row>
    <row r="73" customFormat="false" ht="15" hidden="false" customHeight="true" outlineLevel="0" collapsed="false">
      <c r="A73" s="8" t="s">
        <v>120</v>
      </c>
      <c r="B73" s="8" t="n">
        <v>4159</v>
      </c>
      <c r="C73" s="8" t="s">
        <v>44</v>
      </c>
      <c r="D73" s="8" t="s">
        <v>45</v>
      </c>
      <c r="E73" s="8" t="n">
        <v>68</v>
      </c>
      <c r="F73" s="8" t="s">
        <v>44</v>
      </c>
      <c r="G73" s="8" t="s">
        <v>45</v>
      </c>
    </row>
    <row r="74" customFormat="false" ht="15" hidden="false" customHeight="true" outlineLevel="0" collapsed="false">
      <c r="A74" s="8" t="s">
        <v>121</v>
      </c>
      <c r="B74" s="8" t="n">
        <v>3914</v>
      </c>
      <c r="C74" s="8" t="s">
        <v>44</v>
      </c>
      <c r="D74" s="8" t="s">
        <v>45</v>
      </c>
      <c r="E74" s="8" t="n">
        <v>69.18</v>
      </c>
      <c r="F74" s="8" t="s">
        <v>44</v>
      </c>
      <c r="G74" s="8" t="s">
        <v>45</v>
      </c>
    </row>
    <row r="75" customFormat="false" ht="15" hidden="false" customHeight="true" outlineLevel="0" collapsed="false">
      <c r="A75" s="8" t="s">
        <v>122</v>
      </c>
      <c r="B75" s="8" t="n">
        <v>3950</v>
      </c>
      <c r="C75" s="8" t="s">
        <v>44</v>
      </c>
      <c r="D75" s="8" t="s">
        <v>45</v>
      </c>
      <c r="E75" s="8" t="n">
        <v>67.19</v>
      </c>
      <c r="F75" s="8" t="s">
        <v>44</v>
      </c>
      <c r="G75" s="8" t="s">
        <v>45</v>
      </c>
    </row>
    <row r="76" customFormat="false" ht="15" hidden="false" customHeight="true" outlineLevel="0" collapsed="false">
      <c r="A76" s="7" t="s">
        <v>123</v>
      </c>
      <c r="B76" s="7" t="n">
        <v>3803</v>
      </c>
      <c r="C76" s="7" t="s">
        <v>41</v>
      </c>
      <c r="D76" s="7" t="s">
        <v>124</v>
      </c>
      <c r="E76" s="7" t="n">
        <v>69</v>
      </c>
      <c r="F76" s="7" t="s">
        <v>41</v>
      </c>
      <c r="G76" s="7" t="s">
        <v>125</v>
      </c>
    </row>
    <row r="77" customFormat="false" ht="15" hidden="false" customHeight="true" outlineLevel="0" collapsed="false">
      <c r="A77" s="8" t="s">
        <v>126</v>
      </c>
      <c r="B77" s="8" t="n">
        <v>3256</v>
      </c>
      <c r="C77" s="8" t="s">
        <v>44</v>
      </c>
      <c r="D77" s="8" t="s">
        <v>45</v>
      </c>
      <c r="E77" s="8" t="n">
        <v>68.81</v>
      </c>
      <c r="F77" s="8" t="s">
        <v>44</v>
      </c>
      <c r="G77" s="8" t="s">
        <v>45</v>
      </c>
    </row>
    <row r="78" customFormat="false" ht="15" hidden="false" customHeight="true" outlineLevel="0" collapsed="false">
      <c r="A78" s="7" t="s">
        <v>127</v>
      </c>
      <c r="B78" s="7" t="n">
        <v>2795</v>
      </c>
      <c r="C78" s="7" t="s">
        <v>41</v>
      </c>
      <c r="D78" s="7" t="s">
        <v>128</v>
      </c>
      <c r="E78" s="7" t="n">
        <v>68.61</v>
      </c>
      <c r="F78" s="7" t="s">
        <v>44</v>
      </c>
      <c r="G78" s="7" t="s">
        <v>45</v>
      </c>
    </row>
    <row r="79" customFormat="false" ht="15" hidden="false" customHeight="true" outlineLevel="0" collapsed="false">
      <c r="A79" s="7" t="s">
        <v>129</v>
      </c>
      <c r="B79" s="7" t="n">
        <v>2368</v>
      </c>
      <c r="C79" s="7" t="s">
        <v>41</v>
      </c>
      <c r="D79" s="7" t="s">
        <v>130</v>
      </c>
      <c r="E79" s="7" t="n">
        <v>66.83</v>
      </c>
      <c r="F79" s="7" t="s">
        <v>41</v>
      </c>
      <c r="G79" s="7" t="s">
        <v>131</v>
      </c>
    </row>
    <row r="80" customFormat="false" ht="15" hidden="false" customHeight="true" outlineLevel="0" collapsed="false">
      <c r="A80" s="7" t="s">
        <v>132</v>
      </c>
      <c r="B80" s="7" t="n">
        <v>2208</v>
      </c>
      <c r="C80" s="7" t="s">
        <v>41</v>
      </c>
      <c r="D80" s="7" t="s">
        <v>133</v>
      </c>
      <c r="E80" s="7" t="n">
        <v>60.8</v>
      </c>
      <c r="F80" s="7" t="s">
        <v>41</v>
      </c>
      <c r="G80" s="7" t="s">
        <v>134</v>
      </c>
    </row>
    <row r="81" customFormat="false" ht="15" hidden="false" customHeight="true" outlineLevel="0" collapsed="false">
      <c r="A81" s="7" t="s">
        <v>135</v>
      </c>
      <c r="B81" s="7" t="n">
        <v>2076</v>
      </c>
      <c r="C81" s="7" t="s">
        <v>41</v>
      </c>
      <c r="D81" s="7" t="s">
        <v>136</v>
      </c>
      <c r="E81" s="7" t="n">
        <v>62.35</v>
      </c>
      <c r="F81" s="7" t="s">
        <v>44</v>
      </c>
      <c r="G81" s="7" t="s">
        <v>45</v>
      </c>
    </row>
    <row r="82" customFormat="false" ht="15" hidden="false" customHeight="true" outlineLevel="0" collapsed="false">
      <c r="A82" s="7" t="s">
        <v>137</v>
      </c>
      <c r="B82" s="7" t="n">
        <v>2164</v>
      </c>
      <c r="C82" s="7" t="s">
        <v>44</v>
      </c>
      <c r="D82" s="7" t="s">
        <v>45</v>
      </c>
      <c r="E82" s="7" t="n">
        <v>66</v>
      </c>
      <c r="F82" s="7" t="s">
        <v>41</v>
      </c>
      <c r="G82" s="7" t="s">
        <v>138</v>
      </c>
    </row>
    <row r="83" customFormat="false" ht="15" hidden="false" customHeight="true" outlineLevel="0" collapsed="false">
      <c r="A83" s="8" t="s">
        <v>139</v>
      </c>
      <c r="B83" s="8" t="n">
        <v>2308</v>
      </c>
      <c r="C83" s="8" t="s">
        <v>44</v>
      </c>
      <c r="D83" s="8" t="s">
        <v>45</v>
      </c>
      <c r="E83" s="8" t="n">
        <v>65.41</v>
      </c>
      <c r="F83" s="8" t="s">
        <v>44</v>
      </c>
      <c r="G83" s="8" t="s">
        <v>45</v>
      </c>
    </row>
    <row r="84" customFormat="false" ht="15" hidden="false" customHeight="true" outlineLevel="0" collapsed="false">
      <c r="A84" s="7" t="s">
        <v>140</v>
      </c>
      <c r="B84" s="7" t="n">
        <v>2424</v>
      </c>
      <c r="C84" s="7" t="s">
        <v>41</v>
      </c>
      <c r="D84" s="7" t="s">
        <v>141</v>
      </c>
      <c r="E84" s="7" t="n">
        <v>67</v>
      </c>
      <c r="F84" s="7" t="s">
        <v>41</v>
      </c>
      <c r="G84" s="7" t="s">
        <v>142</v>
      </c>
    </row>
    <row r="85" customFormat="false" ht="15" hidden="false" customHeight="true" outlineLevel="0" collapsed="false">
      <c r="A85" s="8" t="s">
        <v>143</v>
      </c>
      <c r="B85" s="8" t="n">
        <v>2405</v>
      </c>
      <c r="C85" s="8" t="s">
        <v>44</v>
      </c>
      <c r="D85" s="8" t="s">
        <v>45</v>
      </c>
      <c r="E85" s="8" t="n">
        <v>66.65</v>
      </c>
      <c r="F85" s="8" t="s">
        <v>44</v>
      </c>
      <c r="G85" s="8" t="s">
        <v>45</v>
      </c>
    </row>
    <row r="86" customFormat="false" ht="15" hidden="false" customHeight="true" outlineLevel="0" collapsed="false">
      <c r="A86" s="8" t="s">
        <v>144</v>
      </c>
      <c r="B86" s="8" t="n">
        <v>2454</v>
      </c>
      <c r="C86" s="8" t="s">
        <v>44</v>
      </c>
      <c r="D86" s="8" t="s">
        <v>45</v>
      </c>
      <c r="E86" s="8" t="n">
        <v>65.79</v>
      </c>
      <c r="F86" s="8" t="s">
        <v>44</v>
      </c>
      <c r="G86" s="8" t="s">
        <v>45</v>
      </c>
    </row>
    <row r="87" customFormat="false" ht="15" hidden="false" customHeight="true" outlineLevel="0" collapsed="false">
      <c r="A87" s="8" t="s">
        <v>145</v>
      </c>
      <c r="B87" s="8" t="n">
        <v>2549</v>
      </c>
      <c r="C87" s="8" t="s">
        <v>44</v>
      </c>
      <c r="D87" s="8" t="s">
        <v>45</v>
      </c>
      <c r="E87" s="8" t="n">
        <v>65.72</v>
      </c>
      <c r="F87" s="8" t="s">
        <v>44</v>
      </c>
      <c r="G87" s="8" t="s">
        <v>45</v>
      </c>
    </row>
    <row r="88" customFormat="false" ht="15" hidden="false" customHeight="true" outlineLevel="0" collapsed="false">
      <c r="A88" s="7" t="s">
        <v>146</v>
      </c>
      <c r="B88" s="7" t="n">
        <v>2380</v>
      </c>
      <c r="C88" s="7" t="s">
        <v>44</v>
      </c>
      <c r="D88" s="7" t="s">
        <v>45</v>
      </c>
      <c r="E88" s="7" t="n">
        <v>63.9</v>
      </c>
      <c r="F88" s="7" t="s">
        <v>41</v>
      </c>
      <c r="G88" s="7" t="s">
        <v>147</v>
      </c>
    </row>
    <row r="89" customFormat="false" ht="15" hidden="false" customHeight="true" outlineLevel="0" collapsed="false">
      <c r="A89" s="8" t="s">
        <v>148</v>
      </c>
      <c r="B89" s="8" t="n">
        <v>2355</v>
      </c>
      <c r="C89" s="8" t="s">
        <v>44</v>
      </c>
      <c r="D89" s="8" t="s">
        <v>45</v>
      </c>
      <c r="E89" s="8" t="n">
        <v>65.76</v>
      </c>
      <c r="F89" s="8" t="s">
        <v>44</v>
      </c>
      <c r="G89" s="8" t="s">
        <v>45</v>
      </c>
    </row>
    <row r="90" customFormat="false" ht="15" hidden="false" customHeight="true" outlineLevel="0" collapsed="false">
      <c r="A90" s="8" t="s">
        <v>149</v>
      </c>
      <c r="B90" s="8" t="n">
        <v>2381</v>
      </c>
      <c r="C90" s="8" t="s">
        <v>44</v>
      </c>
      <c r="D90" s="8" t="s">
        <v>45</v>
      </c>
      <c r="E90" s="8" t="n">
        <v>63.56</v>
      </c>
      <c r="F90" s="8" t="s">
        <v>44</v>
      </c>
      <c r="G90" s="8" t="s">
        <v>45</v>
      </c>
    </row>
    <row r="91" customFormat="false" ht="15" hidden="false" customHeight="true" outlineLevel="0" collapsed="false">
      <c r="A91" s="8" t="s">
        <v>150</v>
      </c>
      <c r="B91" s="8" t="n">
        <v>2502</v>
      </c>
      <c r="C91" s="8" t="s">
        <v>44</v>
      </c>
      <c r="D91" s="8" t="s">
        <v>45</v>
      </c>
      <c r="E91" s="8" t="n">
        <v>67.38</v>
      </c>
      <c r="F91" s="8" t="s">
        <v>44</v>
      </c>
      <c r="G91" s="8" t="s">
        <v>45</v>
      </c>
    </row>
    <row r="92" customFormat="false" ht="15" hidden="false" customHeight="true" outlineLevel="0" collapsed="false">
      <c r="A92" s="8" t="s">
        <v>151</v>
      </c>
      <c r="B92" s="8" t="n">
        <v>2452</v>
      </c>
      <c r="C92" s="8" t="s">
        <v>44</v>
      </c>
      <c r="D92" s="8" t="s">
        <v>45</v>
      </c>
      <c r="E92" s="8" t="n">
        <v>64.7</v>
      </c>
      <c r="F92" s="8" t="s">
        <v>44</v>
      </c>
      <c r="G92" s="8" t="s">
        <v>45</v>
      </c>
    </row>
    <row r="93" customFormat="false" ht="15" hidden="false" customHeight="true" outlineLevel="0" collapsed="false">
      <c r="A93" s="8" t="s">
        <v>152</v>
      </c>
      <c r="B93" s="8" t="n">
        <v>2379</v>
      </c>
      <c r="C93" s="8" t="s">
        <v>44</v>
      </c>
      <c r="D93" s="8" t="s">
        <v>45</v>
      </c>
      <c r="E93" s="8" t="n">
        <v>62.8</v>
      </c>
      <c r="F93" s="8" t="s">
        <v>44</v>
      </c>
      <c r="G93" s="8" t="s">
        <v>45</v>
      </c>
    </row>
    <row r="94" customFormat="false" ht="15" hidden="false" customHeight="true" outlineLevel="0" collapsed="false">
      <c r="A94" s="8" t="s">
        <v>153</v>
      </c>
      <c r="B94" s="8" t="n">
        <v>2468</v>
      </c>
      <c r="C94" s="8" t="s">
        <v>44</v>
      </c>
      <c r="D94" s="8" t="s">
        <v>45</v>
      </c>
      <c r="E94" s="8" t="n">
        <v>62.53</v>
      </c>
      <c r="F94" s="8" t="s">
        <v>44</v>
      </c>
      <c r="G94" s="8" t="s">
        <v>45</v>
      </c>
    </row>
    <row r="95" customFormat="false" ht="15" hidden="false" customHeight="true" outlineLevel="0" collapsed="false">
      <c r="A95" s="8" t="s">
        <v>154</v>
      </c>
      <c r="B95" s="8" t="n">
        <v>2432</v>
      </c>
      <c r="C95" s="8" t="s">
        <v>44</v>
      </c>
      <c r="D95" s="8" t="s">
        <v>45</v>
      </c>
      <c r="E95" s="8" t="n">
        <v>64.52</v>
      </c>
      <c r="F95" s="8" t="s">
        <v>44</v>
      </c>
      <c r="G95" s="8" t="s">
        <v>45</v>
      </c>
    </row>
    <row r="96" customFormat="false" ht="15" hidden="false" customHeight="true" outlineLevel="0" collapsed="false">
      <c r="A96" s="8" t="s">
        <v>155</v>
      </c>
      <c r="B96" s="8" t="n">
        <v>2506</v>
      </c>
      <c r="C96" s="8" t="s">
        <v>44</v>
      </c>
      <c r="D96" s="8" t="s">
        <v>45</v>
      </c>
      <c r="E96" s="8" t="n">
        <v>63.61</v>
      </c>
      <c r="F96" s="8" t="s">
        <v>44</v>
      </c>
      <c r="G96" s="8" t="s">
        <v>45</v>
      </c>
    </row>
    <row r="97" customFormat="false" ht="15" hidden="false" customHeight="true" outlineLevel="0" collapsed="false">
      <c r="A97" s="7" t="s">
        <v>156</v>
      </c>
      <c r="B97" s="7" t="n">
        <v>2424</v>
      </c>
      <c r="C97" s="7" t="s">
        <v>41</v>
      </c>
      <c r="D97" s="7" t="s">
        <v>42</v>
      </c>
      <c r="E97" s="7" t="n">
        <v>63.9</v>
      </c>
      <c r="F97" s="7" t="s">
        <v>41</v>
      </c>
      <c r="G97" s="7"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3" min="3" style="1" width="16"/>
    <col collapsed="false" customWidth="true" hidden="false" outlineLevel="0" max="5" min="4" style="1" width="14"/>
    <col collapsed="false" customWidth="true" hidden="false" outlineLevel="0" max="8" min="6" style="1" width="16"/>
    <col collapsed="false" customWidth="true" hidden="false" outlineLevel="0" max="9" min="9" style="1" width="12"/>
  </cols>
  <sheetData>
    <row r="1" customFormat="false" ht="17.25" hidden="false" customHeight="true" outlineLevel="0" collapsed="false">
      <c r="A1" s="2" t="s">
        <v>157</v>
      </c>
    </row>
    <row r="2" customFormat="false" ht="15" hidden="false" customHeight="true" outlineLevel="0" collapsed="false">
      <c r="A2" s="4" t="s">
        <v>158</v>
      </c>
    </row>
    <row r="4" customFormat="false" ht="26.25" hidden="false" customHeight="true" outlineLevel="0" collapsed="false">
      <c r="A4" s="6" t="s">
        <v>159</v>
      </c>
      <c r="B4" s="6" t="s">
        <v>160</v>
      </c>
      <c r="C4" s="6" t="s">
        <v>161</v>
      </c>
      <c r="D4" s="6" t="s">
        <v>162</v>
      </c>
      <c r="E4" s="6" t="s">
        <v>163</v>
      </c>
      <c r="F4" s="6" t="s">
        <v>164</v>
      </c>
      <c r="G4" s="6" t="s">
        <v>165</v>
      </c>
      <c r="H4" s="6" t="s">
        <v>166</v>
      </c>
      <c r="I4" s="6" t="s">
        <v>167</v>
      </c>
    </row>
    <row r="5" customFormat="false" ht="15" hidden="false" customHeight="true" outlineLevel="0" collapsed="false">
      <c r="A5" s="9" t="s">
        <v>168</v>
      </c>
      <c r="B5" s="9" t="s">
        <v>169</v>
      </c>
      <c r="C5" s="9" t="s">
        <v>170</v>
      </c>
      <c r="D5" s="9" t="n">
        <v>8.93</v>
      </c>
      <c r="E5" s="9" t="n">
        <v>33.05</v>
      </c>
      <c r="F5" s="9" t="n">
        <v>37317</v>
      </c>
      <c r="G5" s="10" t="n">
        <f aca="false">F5*E5</f>
        <v>1233326.85</v>
      </c>
      <c r="H5" s="10" t="n">
        <f aca="false">F5*D5</f>
        <v>333240.81</v>
      </c>
      <c r="I5" s="11" t="n">
        <f aca="false">RANK(G5,$G$5:$G$54)</f>
        <v>9</v>
      </c>
    </row>
    <row r="6" customFormat="false" ht="15" hidden="false" customHeight="true" outlineLevel="0" collapsed="false">
      <c r="A6" s="9" t="s">
        <v>171</v>
      </c>
      <c r="B6" s="9" t="s">
        <v>172</v>
      </c>
      <c r="C6" s="9" t="s">
        <v>173</v>
      </c>
      <c r="D6" s="9" t="n">
        <v>8.01</v>
      </c>
      <c r="E6" s="9" t="n">
        <v>20.86</v>
      </c>
      <c r="F6" s="9" t="n">
        <v>23767</v>
      </c>
      <c r="G6" s="10" t="n">
        <f aca="false">F6*E6</f>
        <v>495779.62</v>
      </c>
      <c r="H6" s="10" t="n">
        <f aca="false">F6*D6</f>
        <v>190373.67</v>
      </c>
      <c r="I6" s="11" t="n">
        <f aca="false">RANK(G6,$G$5:$G$54)</f>
        <v>37</v>
      </c>
    </row>
    <row r="7" customFormat="false" ht="15" hidden="false" customHeight="true" outlineLevel="0" collapsed="false">
      <c r="A7" s="9" t="s">
        <v>174</v>
      </c>
      <c r="B7" s="9" t="s">
        <v>169</v>
      </c>
      <c r="C7" s="9" t="s">
        <v>175</v>
      </c>
      <c r="D7" s="9" t="n">
        <v>11.55</v>
      </c>
      <c r="E7" s="9" t="n">
        <v>31.3</v>
      </c>
      <c r="F7" s="9" t="n">
        <v>16179</v>
      </c>
      <c r="G7" s="10" t="n">
        <f aca="false">F7*E7</f>
        <v>506402.7</v>
      </c>
      <c r="H7" s="10" t="n">
        <f aca="false">F7*D7</f>
        <v>186867.45</v>
      </c>
      <c r="I7" s="11" t="n">
        <f aca="false">RANK(G7,$G$5:$G$54)</f>
        <v>35</v>
      </c>
    </row>
    <row r="8" customFormat="false" ht="15" hidden="false" customHeight="true" outlineLevel="0" collapsed="false">
      <c r="A8" s="9" t="s">
        <v>176</v>
      </c>
      <c r="B8" s="9" t="s">
        <v>172</v>
      </c>
      <c r="C8" s="9" t="s">
        <v>173</v>
      </c>
      <c r="D8" s="9" t="n">
        <v>7.57</v>
      </c>
      <c r="E8" s="9" t="n">
        <v>21.05</v>
      </c>
      <c r="F8" s="9" t="n">
        <v>16748</v>
      </c>
      <c r="G8" s="10" t="n">
        <f aca="false">F8*E8</f>
        <v>352545.4</v>
      </c>
      <c r="H8" s="10" t="n">
        <f aca="false">F8*D8</f>
        <v>126782.36</v>
      </c>
      <c r="I8" s="11" t="n">
        <f aca="false">RANK(G8,$G$5:$G$54)</f>
        <v>45</v>
      </c>
    </row>
    <row r="9" customFormat="false" ht="15" hidden="false" customHeight="true" outlineLevel="0" collapsed="false">
      <c r="A9" s="9" t="s">
        <v>177</v>
      </c>
      <c r="B9" s="9" t="s">
        <v>178</v>
      </c>
      <c r="C9" s="9" t="s">
        <v>179</v>
      </c>
      <c r="D9" s="9" t="n">
        <v>5.93</v>
      </c>
      <c r="E9" s="9" t="n">
        <v>18.55</v>
      </c>
      <c r="F9" s="9" t="n">
        <v>36317</v>
      </c>
      <c r="G9" s="10" t="n">
        <f aca="false">F9*E9</f>
        <v>673680.35</v>
      </c>
      <c r="H9" s="10" t="n">
        <f aca="false">F9*D9</f>
        <v>215359.81</v>
      </c>
      <c r="I9" s="11" t="n">
        <f aca="false">RANK(G9,$G$5:$G$54)</f>
        <v>29</v>
      </c>
    </row>
    <row r="10" customFormat="false" ht="15" hidden="false" customHeight="true" outlineLevel="0" collapsed="false">
      <c r="A10" s="9" t="s">
        <v>180</v>
      </c>
      <c r="B10" s="9" t="s">
        <v>178</v>
      </c>
      <c r="C10" s="9" t="s">
        <v>179</v>
      </c>
      <c r="D10" s="9" t="n">
        <v>12.8</v>
      </c>
      <c r="E10" s="9" t="n">
        <v>43.45</v>
      </c>
      <c r="F10" s="9" t="n">
        <v>21213</v>
      </c>
      <c r="G10" s="10" t="n">
        <f aca="false">F10*E10</f>
        <v>921704.85</v>
      </c>
      <c r="H10" s="10" t="n">
        <f aca="false">F10*D10</f>
        <v>271526.4</v>
      </c>
      <c r="I10" s="11" t="n">
        <f aca="false">RANK(G10,$G$5:$G$54)</f>
        <v>17</v>
      </c>
    </row>
    <row r="11" customFormat="false" ht="15" hidden="false" customHeight="true" outlineLevel="0" collapsed="false">
      <c r="A11" s="9" t="s">
        <v>181</v>
      </c>
      <c r="B11" s="9" t="s">
        <v>182</v>
      </c>
      <c r="C11" s="9" t="s">
        <v>179</v>
      </c>
      <c r="D11" s="9" t="n">
        <v>13.32</v>
      </c>
      <c r="E11" s="9" t="n">
        <v>43.46</v>
      </c>
      <c r="F11" s="9" t="n">
        <v>26878</v>
      </c>
      <c r="G11" s="10" t="n">
        <f aca="false">F11*E11</f>
        <v>1168117.88</v>
      </c>
      <c r="H11" s="10" t="n">
        <f aca="false">F11*D11</f>
        <v>358014.96</v>
      </c>
      <c r="I11" s="11" t="n">
        <f aca="false">RANK(G11,$G$5:$G$54)</f>
        <v>10</v>
      </c>
    </row>
    <row r="12" customFormat="false" ht="15" hidden="false" customHeight="true" outlineLevel="0" collapsed="false">
      <c r="A12" s="9" t="s">
        <v>183</v>
      </c>
      <c r="B12" s="9" t="s">
        <v>182</v>
      </c>
      <c r="C12" s="9" t="s">
        <v>175</v>
      </c>
      <c r="D12" s="9" t="n">
        <v>4.86</v>
      </c>
      <c r="E12" s="9" t="n">
        <v>17.75</v>
      </c>
      <c r="F12" s="9" t="n">
        <v>16631</v>
      </c>
      <c r="G12" s="10" t="n">
        <f aca="false">F12*E12</f>
        <v>295200.25</v>
      </c>
      <c r="H12" s="10" t="n">
        <f aca="false">F12*D12</f>
        <v>80826.66</v>
      </c>
      <c r="I12" s="11" t="n">
        <f aca="false">RANK(G12,$G$5:$G$54)</f>
        <v>47</v>
      </c>
    </row>
    <row r="13" customFormat="false" ht="15" hidden="false" customHeight="true" outlineLevel="0" collapsed="false">
      <c r="A13" s="9" t="s">
        <v>184</v>
      </c>
      <c r="B13" s="9" t="s">
        <v>172</v>
      </c>
      <c r="C13" s="9" t="s">
        <v>170</v>
      </c>
      <c r="D13" s="9" t="n">
        <v>5.67</v>
      </c>
      <c r="E13" s="9" t="n">
        <v>21.32</v>
      </c>
      <c r="F13" s="9" t="n">
        <v>20688</v>
      </c>
      <c r="G13" s="10" t="n">
        <f aca="false">F13*E13</f>
        <v>441068.16</v>
      </c>
      <c r="H13" s="10" t="n">
        <f aca="false">F13*D13</f>
        <v>117300.96</v>
      </c>
      <c r="I13" s="11" t="n">
        <f aca="false">RANK(G13,$G$5:$G$54)</f>
        <v>42</v>
      </c>
    </row>
    <row r="14" customFormat="false" ht="15" hidden="false" customHeight="true" outlineLevel="0" collapsed="false">
      <c r="A14" s="9" t="s">
        <v>185</v>
      </c>
      <c r="B14" s="9" t="s">
        <v>178</v>
      </c>
      <c r="C14" s="9" t="s">
        <v>173</v>
      </c>
      <c r="D14" s="9" t="n">
        <v>7.88</v>
      </c>
      <c r="E14" s="9" t="n">
        <v>25.4</v>
      </c>
      <c r="F14" s="9" t="n">
        <v>26394</v>
      </c>
      <c r="G14" s="10" t="n">
        <f aca="false">F14*E14</f>
        <v>670407.6</v>
      </c>
      <c r="H14" s="10" t="n">
        <f aca="false">F14*D14</f>
        <v>207984.72</v>
      </c>
      <c r="I14" s="11" t="n">
        <f aca="false">RANK(G14,$G$5:$G$54)</f>
        <v>30</v>
      </c>
    </row>
    <row r="15" customFormat="false" ht="15" hidden="false" customHeight="true" outlineLevel="0" collapsed="false">
      <c r="A15" s="9" t="s">
        <v>186</v>
      </c>
      <c r="B15" s="9" t="s">
        <v>187</v>
      </c>
      <c r="C15" s="9" t="s">
        <v>173</v>
      </c>
      <c r="D15" s="9" t="n">
        <v>5.8</v>
      </c>
      <c r="E15" s="9" t="n">
        <v>18</v>
      </c>
      <c r="F15" s="9" t="n">
        <v>19848</v>
      </c>
      <c r="G15" s="10" t="n">
        <f aca="false">F15*E15</f>
        <v>357264</v>
      </c>
      <c r="H15" s="10" t="n">
        <f aca="false">F15*D15</f>
        <v>115118.4</v>
      </c>
      <c r="I15" s="11" t="n">
        <f aca="false">RANK(G15,$G$5:$G$54)</f>
        <v>44</v>
      </c>
    </row>
    <row r="16" customFormat="false" ht="15" hidden="false" customHeight="true" outlineLevel="0" collapsed="false">
      <c r="A16" s="9" t="s">
        <v>188</v>
      </c>
      <c r="B16" s="9" t="s">
        <v>169</v>
      </c>
      <c r="C16" s="9" t="s">
        <v>179</v>
      </c>
      <c r="D16" s="9" t="n">
        <v>6.39</v>
      </c>
      <c r="E16" s="9" t="n">
        <v>19.4</v>
      </c>
      <c r="F16" s="9" t="n">
        <v>8459</v>
      </c>
      <c r="G16" s="10" t="n">
        <f aca="false">F16*E16</f>
        <v>164104.6</v>
      </c>
      <c r="H16" s="10" t="n">
        <f aca="false">F16*D16</f>
        <v>54053.01</v>
      </c>
      <c r="I16" s="11" t="n">
        <f aca="false">RANK(G16,$G$5:$G$54)</f>
        <v>50</v>
      </c>
    </row>
    <row r="17" customFormat="false" ht="15" hidden="false" customHeight="true" outlineLevel="0" collapsed="false">
      <c r="A17" s="9" t="s">
        <v>189</v>
      </c>
      <c r="B17" s="9" t="s">
        <v>178</v>
      </c>
      <c r="C17" s="9" t="s">
        <v>175</v>
      </c>
      <c r="D17" s="9" t="n">
        <v>8.72</v>
      </c>
      <c r="E17" s="9" t="n">
        <v>32.93</v>
      </c>
      <c r="F17" s="9" t="n">
        <v>33383</v>
      </c>
      <c r="G17" s="10" t="n">
        <f aca="false">F17*E17</f>
        <v>1099302.19</v>
      </c>
      <c r="H17" s="10" t="n">
        <f aca="false">F17*D17</f>
        <v>291099.76</v>
      </c>
      <c r="I17" s="11" t="n">
        <f aca="false">RANK(G17,$G$5:$G$54)</f>
        <v>12</v>
      </c>
    </row>
    <row r="18" customFormat="false" ht="15" hidden="false" customHeight="true" outlineLevel="0" collapsed="false">
      <c r="A18" s="9" t="s">
        <v>190</v>
      </c>
      <c r="B18" s="9" t="s">
        <v>172</v>
      </c>
      <c r="C18" s="9" t="s">
        <v>179</v>
      </c>
      <c r="D18" s="9" t="n">
        <v>8.41</v>
      </c>
      <c r="E18" s="9" t="n">
        <v>31.18</v>
      </c>
      <c r="F18" s="9" t="n">
        <v>17310</v>
      </c>
      <c r="G18" s="10" t="n">
        <f aca="false">F18*E18</f>
        <v>539725.8</v>
      </c>
      <c r="H18" s="10" t="n">
        <f aca="false">F18*D18</f>
        <v>145577.1</v>
      </c>
      <c r="I18" s="11" t="n">
        <f aca="false">RANK(G18,$G$5:$G$54)</f>
        <v>33</v>
      </c>
    </row>
    <row r="19" customFormat="false" ht="15" hidden="false" customHeight="true" outlineLevel="0" collapsed="false">
      <c r="A19" s="9" t="s">
        <v>191</v>
      </c>
      <c r="B19" s="9" t="s">
        <v>178</v>
      </c>
      <c r="C19" s="9" t="s">
        <v>192</v>
      </c>
      <c r="D19" s="9" t="n">
        <v>11.31</v>
      </c>
      <c r="E19" s="9" t="n">
        <v>37.95</v>
      </c>
      <c r="F19" s="9" t="n">
        <v>26219</v>
      </c>
      <c r="G19" s="10" t="n">
        <f aca="false">F19*E19</f>
        <v>995011.05</v>
      </c>
      <c r="H19" s="10" t="n">
        <f aca="false">F19*D19</f>
        <v>296536.89</v>
      </c>
      <c r="I19" s="11" t="n">
        <f aca="false">RANK(G19,$G$5:$G$54)</f>
        <v>15</v>
      </c>
    </row>
    <row r="20" customFormat="false" ht="15" hidden="false" customHeight="true" outlineLevel="0" collapsed="false">
      <c r="A20" s="9" t="s">
        <v>193</v>
      </c>
      <c r="B20" s="9" t="s">
        <v>178</v>
      </c>
      <c r="C20" s="9" t="s">
        <v>170</v>
      </c>
      <c r="D20" s="9" t="n">
        <v>12.48</v>
      </c>
      <c r="E20" s="9" t="n">
        <v>34.13</v>
      </c>
      <c r="F20" s="9" t="n">
        <v>84562</v>
      </c>
      <c r="G20" s="10" t="n">
        <f aca="false">F20*E20</f>
        <v>2886101.06</v>
      </c>
      <c r="H20" s="10" t="n">
        <f aca="false">F20*D20</f>
        <v>1055333.76</v>
      </c>
      <c r="I20" s="11" t="n">
        <f aca="false">RANK(G20,$G$5:$G$54)</f>
        <v>1</v>
      </c>
    </row>
    <row r="21" customFormat="false" ht="15" hidden="false" customHeight="true" outlineLevel="0" collapsed="false">
      <c r="A21" s="9" t="s">
        <v>194</v>
      </c>
      <c r="B21" s="9" t="s">
        <v>172</v>
      </c>
      <c r="C21" s="9" t="s">
        <v>179</v>
      </c>
      <c r="D21" s="9" t="n">
        <v>10.47</v>
      </c>
      <c r="E21" s="9" t="n">
        <v>35.2</v>
      </c>
      <c r="F21" s="9" t="n">
        <v>12934</v>
      </c>
      <c r="G21" s="10" t="n">
        <f aca="false">F21*E21</f>
        <v>455276.8</v>
      </c>
      <c r="H21" s="10" t="n">
        <f aca="false">F21*D21</f>
        <v>135418.98</v>
      </c>
      <c r="I21" s="11" t="n">
        <f aca="false">RANK(G21,$G$5:$G$54)</f>
        <v>41</v>
      </c>
    </row>
    <row r="22" customFormat="false" ht="15" hidden="false" customHeight="true" outlineLevel="0" collapsed="false">
      <c r="A22" s="9" t="s">
        <v>195</v>
      </c>
      <c r="B22" s="9" t="s">
        <v>169</v>
      </c>
      <c r="C22" s="9" t="s">
        <v>173</v>
      </c>
      <c r="D22" s="9" t="n">
        <v>13.18</v>
      </c>
      <c r="E22" s="9" t="n">
        <v>46.95</v>
      </c>
      <c r="F22" s="9" t="n">
        <v>14866</v>
      </c>
      <c r="G22" s="10" t="n">
        <f aca="false">F22*E22</f>
        <v>697958.7</v>
      </c>
      <c r="H22" s="10" t="n">
        <f aca="false">F22*D22</f>
        <v>195933.88</v>
      </c>
      <c r="I22" s="11" t="n">
        <f aca="false">RANK(G22,$G$5:$G$54)</f>
        <v>27</v>
      </c>
    </row>
    <row r="23" customFormat="false" ht="15" hidden="false" customHeight="true" outlineLevel="0" collapsed="false">
      <c r="A23" s="9" t="s">
        <v>196</v>
      </c>
      <c r="B23" s="9" t="s">
        <v>172</v>
      </c>
      <c r="C23" s="9" t="s">
        <v>170</v>
      </c>
      <c r="D23" s="9" t="n">
        <v>6.86</v>
      </c>
      <c r="E23" s="9" t="n">
        <v>19.38</v>
      </c>
      <c r="F23" s="9" t="n">
        <v>35312</v>
      </c>
      <c r="G23" s="10" t="n">
        <f aca="false">F23*E23</f>
        <v>684346.56</v>
      </c>
      <c r="H23" s="10" t="n">
        <f aca="false">F23*D23</f>
        <v>242240.32</v>
      </c>
      <c r="I23" s="11" t="n">
        <f aca="false">RANK(G23,$G$5:$G$54)</f>
        <v>28</v>
      </c>
    </row>
    <row r="24" customFormat="false" ht="15" hidden="false" customHeight="true" outlineLevel="0" collapsed="false">
      <c r="A24" s="9" t="s">
        <v>197</v>
      </c>
      <c r="B24" s="9" t="s">
        <v>169</v>
      </c>
      <c r="C24" s="9" t="s">
        <v>173</v>
      </c>
      <c r="D24" s="9" t="n">
        <v>13.41</v>
      </c>
      <c r="E24" s="9" t="n">
        <v>43.53</v>
      </c>
      <c r="F24" s="9" t="n">
        <v>24802</v>
      </c>
      <c r="G24" s="10" t="n">
        <f aca="false">F24*E24</f>
        <v>1079631.06</v>
      </c>
      <c r="H24" s="10" t="n">
        <f aca="false">F24*D24</f>
        <v>332594.82</v>
      </c>
      <c r="I24" s="11" t="n">
        <f aca="false">RANK(G24,$G$5:$G$54)</f>
        <v>13</v>
      </c>
    </row>
    <row r="25" customFormat="false" ht="15" hidden="false" customHeight="true" outlineLevel="0" collapsed="false">
      <c r="A25" s="9" t="s">
        <v>198</v>
      </c>
      <c r="B25" s="9" t="s">
        <v>199</v>
      </c>
      <c r="C25" s="9" t="s">
        <v>179</v>
      </c>
      <c r="D25" s="9" t="n">
        <v>13.62</v>
      </c>
      <c r="E25" s="9" t="n">
        <v>49.37</v>
      </c>
      <c r="F25" s="9" t="n">
        <v>34702</v>
      </c>
      <c r="G25" s="10" t="n">
        <f aca="false">F25*E25</f>
        <v>1713237.74</v>
      </c>
      <c r="H25" s="10" t="n">
        <f aca="false">F25*D25</f>
        <v>472641.24</v>
      </c>
      <c r="I25" s="11" t="n">
        <f aca="false">RANK(G25,$G$5:$G$54)</f>
        <v>4</v>
      </c>
    </row>
    <row r="26" customFormat="false" ht="15" hidden="false" customHeight="true" outlineLevel="0" collapsed="false">
      <c r="A26" s="9" t="s">
        <v>200</v>
      </c>
      <c r="B26" s="9" t="s">
        <v>178</v>
      </c>
      <c r="C26" s="9" t="s">
        <v>179</v>
      </c>
      <c r="D26" s="9" t="n">
        <v>12.7</v>
      </c>
      <c r="E26" s="9" t="n">
        <v>45.17</v>
      </c>
      <c r="F26" s="9" t="n">
        <v>37775</v>
      </c>
      <c r="G26" s="10" t="n">
        <f aca="false">F26*E26</f>
        <v>1706296.75</v>
      </c>
      <c r="H26" s="10" t="n">
        <f aca="false">F26*D26</f>
        <v>479742.5</v>
      </c>
      <c r="I26" s="11" t="n">
        <f aca="false">RANK(G26,$G$5:$G$54)</f>
        <v>5</v>
      </c>
    </row>
    <row r="27" customFormat="false" ht="15" hidden="false" customHeight="true" outlineLevel="0" collapsed="false">
      <c r="A27" s="9" t="s">
        <v>201</v>
      </c>
      <c r="B27" s="9" t="s">
        <v>182</v>
      </c>
      <c r="C27" s="9" t="s">
        <v>170</v>
      </c>
      <c r="D27" s="9" t="n">
        <v>5.41</v>
      </c>
      <c r="E27" s="9" t="n">
        <v>18.36</v>
      </c>
      <c r="F27" s="9" t="n">
        <v>26066</v>
      </c>
      <c r="G27" s="10" t="n">
        <f aca="false">F27*E27</f>
        <v>478571.76</v>
      </c>
      <c r="H27" s="10" t="n">
        <f aca="false">F27*D27</f>
        <v>141017.06</v>
      </c>
      <c r="I27" s="11" t="n">
        <f aca="false">RANK(G27,$G$5:$G$54)</f>
        <v>39</v>
      </c>
    </row>
    <row r="28" customFormat="false" ht="15" hidden="false" customHeight="true" outlineLevel="0" collapsed="false">
      <c r="A28" s="9" t="s">
        <v>202</v>
      </c>
      <c r="B28" s="9" t="s">
        <v>182</v>
      </c>
      <c r="C28" s="9" t="s">
        <v>170</v>
      </c>
      <c r="D28" s="9" t="n">
        <v>6.03</v>
      </c>
      <c r="E28" s="9" t="n">
        <v>15.87</v>
      </c>
      <c r="F28" s="9" t="n">
        <v>19135</v>
      </c>
      <c r="G28" s="10" t="n">
        <f aca="false">F28*E28</f>
        <v>303672.45</v>
      </c>
      <c r="H28" s="10" t="n">
        <f aca="false">F28*D28</f>
        <v>115384.05</v>
      </c>
      <c r="I28" s="11" t="n">
        <f aca="false">RANK(G28,$G$5:$G$54)</f>
        <v>46</v>
      </c>
    </row>
    <row r="29" customFormat="false" ht="15" hidden="false" customHeight="true" outlineLevel="0" collapsed="false">
      <c r="A29" s="9" t="s">
        <v>203</v>
      </c>
      <c r="B29" s="9" t="s">
        <v>169</v>
      </c>
      <c r="C29" s="9" t="s">
        <v>175</v>
      </c>
      <c r="D29" s="9" t="n">
        <v>10.74</v>
      </c>
      <c r="E29" s="9" t="n">
        <v>29.23</v>
      </c>
      <c r="F29" s="9" t="n">
        <v>34339</v>
      </c>
      <c r="G29" s="10" t="n">
        <f aca="false">F29*E29</f>
        <v>1003728.97</v>
      </c>
      <c r="H29" s="10" t="n">
        <f aca="false">F29*D29</f>
        <v>368800.86</v>
      </c>
      <c r="I29" s="11" t="n">
        <f aca="false">RANK(G29,$G$5:$G$54)</f>
        <v>14</v>
      </c>
    </row>
    <row r="30" customFormat="false" ht="15" hidden="false" customHeight="true" outlineLevel="0" collapsed="false">
      <c r="A30" s="9" t="s">
        <v>204</v>
      </c>
      <c r="B30" s="9" t="s">
        <v>169</v>
      </c>
      <c r="C30" s="9" t="s">
        <v>175</v>
      </c>
      <c r="D30" s="9" t="n">
        <v>6.54</v>
      </c>
      <c r="E30" s="9" t="n">
        <v>18.95</v>
      </c>
      <c r="F30" s="9" t="n">
        <v>9818</v>
      </c>
      <c r="G30" s="10" t="n">
        <f aca="false">F30*E30</f>
        <v>186051.1</v>
      </c>
      <c r="H30" s="10" t="n">
        <f aca="false">F30*D30</f>
        <v>64209.72</v>
      </c>
      <c r="I30" s="11" t="n">
        <f aca="false">RANK(G30,$G$5:$G$54)</f>
        <v>49</v>
      </c>
    </row>
    <row r="31" customFormat="false" ht="15" hidden="false" customHeight="true" outlineLevel="0" collapsed="false">
      <c r="A31" s="9" t="s">
        <v>205</v>
      </c>
      <c r="B31" s="9" t="s">
        <v>178</v>
      </c>
      <c r="C31" s="9" t="s">
        <v>179</v>
      </c>
      <c r="D31" s="9" t="n">
        <v>11.75</v>
      </c>
      <c r="E31" s="9" t="n">
        <v>32.4</v>
      </c>
      <c r="F31" s="9" t="n">
        <v>17859</v>
      </c>
      <c r="G31" s="10" t="n">
        <f aca="false">F31*E31</f>
        <v>578631.6</v>
      </c>
      <c r="H31" s="10" t="n">
        <f aca="false">F31*D31</f>
        <v>209843.25</v>
      </c>
      <c r="I31" s="11" t="n">
        <f aca="false">RANK(G31,$G$5:$G$54)</f>
        <v>32</v>
      </c>
    </row>
    <row r="32" customFormat="false" ht="15" hidden="false" customHeight="true" outlineLevel="0" collapsed="false">
      <c r="A32" s="9" t="s">
        <v>206</v>
      </c>
      <c r="B32" s="9" t="s">
        <v>169</v>
      </c>
      <c r="C32" s="9" t="s">
        <v>175</v>
      </c>
      <c r="D32" s="9" t="n">
        <v>10.39</v>
      </c>
      <c r="E32" s="9" t="n">
        <v>29.35</v>
      </c>
      <c r="F32" s="9" t="n">
        <v>20545</v>
      </c>
      <c r="G32" s="10" t="n">
        <f aca="false">F32*E32</f>
        <v>602995.75</v>
      </c>
      <c r="H32" s="10" t="n">
        <f aca="false">F32*D32</f>
        <v>213462.55</v>
      </c>
      <c r="I32" s="11" t="n">
        <f aca="false">RANK(G32,$G$5:$G$54)</f>
        <v>31</v>
      </c>
    </row>
    <row r="33" customFormat="false" ht="15" hidden="false" customHeight="true" outlineLevel="0" collapsed="false">
      <c r="A33" s="9" t="s">
        <v>207</v>
      </c>
      <c r="B33" s="9" t="s">
        <v>182</v>
      </c>
      <c r="C33" s="9" t="s">
        <v>175</v>
      </c>
      <c r="D33" s="9" t="n">
        <v>12.34</v>
      </c>
      <c r="E33" s="9" t="n">
        <v>42.07</v>
      </c>
      <c r="F33" s="9" t="n">
        <v>61065</v>
      </c>
      <c r="G33" s="10" t="n">
        <f aca="false">F33*E33</f>
        <v>2569004.55</v>
      </c>
      <c r="H33" s="10" t="n">
        <f aca="false">F33*D33</f>
        <v>753542.1</v>
      </c>
      <c r="I33" s="11" t="n">
        <f aca="false">RANK(G33,$G$5:$G$54)</f>
        <v>3</v>
      </c>
    </row>
    <row r="34" customFormat="false" ht="15" hidden="false" customHeight="true" outlineLevel="0" collapsed="false">
      <c r="A34" s="9" t="s">
        <v>208</v>
      </c>
      <c r="B34" s="9" t="s">
        <v>169</v>
      </c>
      <c r="C34" s="9" t="s">
        <v>179</v>
      </c>
      <c r="D34" s="9" t="n">
        <v>11.61</v>
      </c>
      <c r="E34" s="9" t="n">
        <v>42.68</v>
      </c>
      <c r="F34" s="9" t="n">
        <v>31875</v>
      </c>
      <c r="G34" s="10" t="n">
        <f aca="false">F34*E34</f>
        <v>1360425</v>
      </c>
      <c r="H34" s="10" t="n">
        <f aca="false">F34*D34</f>
        <v>370068.75</v>
      </c>
      <c r="I34" s="11" t="n">
        <f aca="false">RANK(G34,$G$5:$G$54)</f>
        <v>7</v>
      </c>
    </row>
    <row r="35" customFormat="false" ht="15" hidden="false" customHeight="true" outlineLevel="0" collapsed="false">
      <c r="A35" s="9" t="s">
        <v>209</v>
      </c>
      <c r="B35" s="9" t="s">
        <v>169</v>
      </c>
      <c r="C35" s="9" t="s">
        <v>175</v>
      </c>
      <c r="D35" s="9" t="n">
        <v>12.51</v>
      </c>
      <c r="E35" s="9" t="n">
        <v>44.19</v>
      </c>
      <c r="F35" s="9" t="n">
        <v>61170</v>
      </c>
      <c r="G35" s="10" t="n">
        <f aca="false">F35*E35</f>
        <v>2703102.3</v>
      </c>
      <c r="H35" s="10" t="n">
        <f aca="false">F35*D35</f>
        <v>765236.7</v>
      </c>
      <c r="I35" s="11" t="n">
        <f aca="false">RANK(G35,$G$5:$G$54)</f>
        <v>2</v>
      </c>
    </row>
    <row r="36" customFormat="false" ht="15" hidden="false" customHeight="true" outlineLevel="0" collapsed="false">
      <c r="A36" s="9" t="s">
        <v>210</v>
      </c>
      <c r="B36" s="9" t="s">
        <v>199</v>
      </c>
      <c r="C36" s="9" t="s">
        <v>179</v>
      </c>
      <c r="D36" s="9" t="n">
        <v>8.09</v>
      </c>
      <c r="E36" s="9" t="n">
        <v>25.11</v>
      </c>
      <c r="F36" s="9" t="n">
        <v>49529</v>
      </c>
      <c r="G36" s="10" t="n">
        <f aca="false">F36*E36</f>
        <v>1243673.19</v>
      </c>
      <c r="H36" s="10" t="n">
        <f aca="false">F36*D36</f>
        <v>400689.61</v>
      </c>
      <c r="I36" s="11" t="n">
        <f aca="false">RANK(G36,$G$5:$G$54)</f>
        <v>8</v>
      </c>
    </row>
    <row r="37" customFormat="false" ht="15" hidden="false" customHeight="true" outlineLevel="0" collapsed="false">
      <c r="A37" s="9" t="s">
        <v>211</v>
      </c>
      <c r="B37" s="9" t="s">
        <v>182</v>
      </c>
      <c r="C37" s="9" t="s">
        <v>175</v>
      </c>
      <c r="D37" s="9" t="n">
        <v>12.39</v>
      </c>
      <c r="E37" s="9" t="n">
        <v>45.88</v>
      </c>
      <c r="F37" s="9" t="n">
        <v>16385</v>
      </c>
      <c r="G37" s="10" t="n">
        <f aca="false">F37*E37</f>
        <v>751743.8</v>
      </c>
      <c r="H37" s="10" t="n">
        <f aca="false">F37*D37</f>
        <v>203010.15</v>
      </c>
      <c r="I37" s="11" t="n">
        <f aca="false">RANK(G37,$G$5:$G$54)</f>
        <v>22</v>
      </c>
    </row>
    <row r="38" customFormat="false" ht="15" hidden="false" customHeight="true" outlineLevel="0" collapsed="false">
      <c r="A38" s="9" t="s">
        <v>212</v>
      </c>
      <c r="B38" s="9" t="s">
        <v>169</v>
      </c>
      <c r="C38" s="9" t="s">
        <v>179</v>
      </c>
      <c r="D38" s="9" t="n">
        <v>13.25</v>
      </c>
      <c r="E38" s="9" t="n">
        <v>36.41</v>
      </c>
      <c r="F38" s="9" t="n">
        <v>23610</v>
      </c>
      <c r="G38" s="10" t="n">
        <f aca="false">F38*E38</f>
        <v>859640.1</v>
      </c>
      <c r="H38" s="10" t="n">
        <f aca="false">F38*D38</f>
        <v>312832.5</v>
      </c>
      <c r="I38" s="11" t="n">
        <f aca="false">RANK(G38,$G$5:$G$54)</f>
        <v>18</v>
      </c>
    </row>
    <row r="39" customFormat="false" ht="15" hidden="false" customHeight="true" outlineLevel="0" collapsed="false">
      <c r="A39" s="9" t="s">
        <v>213</v>
      </c>
      <c r="B39" s="9" t="s">
        <v>187</v>
      </c>
      <c r="C39" s="9" t="s">
        <v>179</v>
      </c>
      <c r="D39" s="9" t="n">
        <v>6.31</v>
      </c>
      <c r="E39" s="9" t="n">
        <v>23.33</v>
      </c>
      <c r="F39" s="9" t="n">
        <v>33517</v>
      </c>
      <c r="G39" s="10" t="n">
        <f aca="false">F39*E39</f>
        <v>781951.61</v>
      </c>
      <c r="H39" s="10" t="n">
        <f aca="false">F39*D39</f>
        <v>211492.27</v>
      </c>
      <c r="I39" s="11" t="n">
        <f aca="false">RANK(G39,$G$5:$G$54)</f>
        <v>20</v>
      </c>
    </row>
    <row r="40" customFormat="false" ht="15" hidden="false" customHeight="true" outlineLevel="0" collapsed="false">
      <c r="A40" s="9" t="s">
        <v>214</v>
      </c>
      <c r="B40" s="9" t="s">
        <v>182</v>
      </c>
      <c r="C40" s="9" t="s">
        <v>179</v>
      </c>
      <c r="D40" s="9" t="n">
        <v>11.34</v>
      </c>
      <c r="E40" s="9" t="n">
        <v>35.68</v>
      </c>
      <c r="F40" s="9" t="n">
        <v>20657</v>
      </c>
      <c r="G40" s="10" t="n">
        <f aca="false">F40*E40</f>
        <v>737041.76</v>
      </c>
      <c r="H40" s="10" t="n">
        <f aca="false">F40*D40</f>
        <v>234250.38</v>
      </c>
      <c r="I40" s="11" t="n">
        <f aca="false">RANK(G40,$G$5:$G$54)</f>
        <v>24</v>
      </c>
    </row>
    <row r="41" customFormat="false" ht="15" hidden="false" customHeight="true" outlineLevel="0" collapsed="false">
      <c r="A41" s="9" t="s">
        <v>215</v>
      </c>
      <c r="B41" s="9" t="s">
        <v>187</v>
      </c>
      <c r="C41" s="9" t="s">
        <v>175</v>
      </c>
      <c r="D41" s="9" t="n">
        <v>5.69</v>
      </c>
      <c r="E41" s="9" t="n">
        <v>15.02</v>
      </c>
      <c r="F41" s="9" t="n">
        <v>33271</v>
      </c>
      <c r="G41" s="10" t="n">
        <f aca="false">F41*E41</f>
        <v>499730.42</v>
      </c>
      <c r="H41" s="10" t="n">
        <f aca="false">F41*D41</f>
        <v>189311.99</v>
      </c>
      <c r="I41" s="11" t="n">
        <f aca="false">RANK(G41,$G$5:$G$54)</f>
        <v>36</v>
      </c>
    </row>
    <row r="42" customFormat="false" ht="15" hidden="false" customHeight="true" outlineLevel="0" collapsed="false">
      <c r="A42" s="9" t="s">
        <v>216</v>
      </c>
      <c r="B42" s="9" t="s">
        <v>169</v>
      </c>
      <c r="C42" s="9" t="s">
        <v>179</v>
      </c>
      <c r="D42" s="9" t="n">
        <v>7.03</v>
      </c>
      <c r="E42" s="9" t="n">
        <v>22.72</v>
      </c>
      <c r="F42" s="9" t="n">
        <v>23059</v>
      </c>
      <c r="G42" s="10" t="n">
        <f aca="false">F42*E42</f>
        <v>523900.48</v>
      </c>
      <c r="H42" s="10" t="n">
        <f aca="false">F42*D42</f>
        <v>162104.77</v>
      </c>
      <c r="I42" s="11" t="n">
        <f aca="false">RANK(G42,$G$5:$G$54)</f>
        <v>34</v>
      </c>
    </row>
    <row r="43" customFormat="false" ht="15" hidden="false" customHeight="true" outlineLevel="0" collapsed="false">
      <c r="A43" s="9" t="s">
        <v>217</v>
      </c>
      <c r="B43" s="9" t="s">
        <v>172</v>
      </c>
      <c r="C43" s="9" t="s">
        <v>179</v>
      </c>
      <c r="D43" s="9" t="n">
        <v>6.2</v>
      </c>
      <c r="E43" s="9" t="n">
        <v>17.13</v>
      </c>
      <c r="F43" s="9" t="n">
        <v>44383</v>
      </c>
      <c r="G43" s="10" t="n">
        <f aca="false">F43*E43</f>
        <v>760280.79</v>
      </c>
      <c r="H43" s="10" t="n">
        <f aca="false">F43*D43</f>
        <v>275174.6</v>
      </c>
      <c r="I43" s="11" t="n">
        <f aca="false">RANK(G43,$G$5:$G$54)</f>
        <v>21</v>
      </c>
    </row>
    <row r="44" customFormat="false" ht="15" hidden="false" customHeight="true" outlineLevel="0" collapsed="false">
      <c r="A44" s="9" t="s">
        <v>218</v>
      </c>
      <c r="B44" s="9" t="s">
        <v>187</v>
      </c>
      <c r="C44" s="9" t="s">
        <v>179</v>
      </c>
      <c r="D44" s="9" t="n">
        <v>9.23</v>
      </c>
      <c r="E44" s="9" t="n">
        <v>34.13</v>
      </c>
      <c r="F44" s="9" t="n">
        <v>28049</v>
      </c>
      <c r="G44" s="10" t="n">
        <f aca="false">F44*E44</f>
        <v>957312.37</v>
      </c>
      <c r="H44" s="10" t="n">
        <f aca="false">F44*D44</f>
        <v>258892.27</v>
      </c>
      <c r="I44" s="11" t="n">
        <f aca="false">RANK(G44,$G$5:$G$54)</f>
        <v>16</v>
      </c>
    </row>
    <row r="45" customFormat="false" ht="15" hidden="false" customHeight="true" outlineLevel="0" collapsed="false">
      <c r="A45" s="9" t="s">
        <v>219</v>
      </c>
      <c r="B45" s="9" t="s">
        <v>178</v>
      </c>
      <c r="C45" s="9" t="s">
        <v>173</v>
      </c>
      <c r="D45" s="9" t="n">
        <v>11.73</v>
      </c>
      <c r="E45" s="9" t="n">
        <v>42.17</v>
      </c>
      <c r="F45" s="9" t="n">
        <v>17800</v>
      </c>
      <c r="G45" s="10" t="n">
        <f aca="false">F45*E45</f>
        <v>750626</v>
      </c>
      <c r="H45" s="10" t="n">
        <f aca="false">F45*D45</f>
        <v>208794</v>
      </c>
      <c r="I45" s="11" t="n">
        <f aca="false">RANK(G45,$G$5:$G$54)</f>
        <v>23</v>
      </c>
    </row>
    <row r="46" customFormat="false" ht="15" hidden="false" customHeight="true" outlineLevel="0" collapsed="false">
      <c r="A46" s="9" t="s">
        <v>220</v>
      </c>
      <c r="B46" s="9" t="s">
        <v>199</v>
      </c>
      <c r="C46" s="9" t="s">
        <v>192</v>
      </c>
      <c r="D46" s="9" t="n">
        <v>11.69</v>
      </c>
      <c r="E46" s="9" t="n">
        <v>32.72</v>
      </c>
      <c r="F46" s="9" t="n">
        <v>21370</v>
      </c>
      <c r="G46" s="10" t="n">
        <f aca="false">F46*E46</f>
        <v>699226.4</v>
      </c>
      <c r="H46" s="10" t="n">
        <f aca="false">F46*D46</f>
        <v>249815.3</v>
      </c>
      <c r="I46" s="11" t="n">
        <f aca="false">RANK(G46,$G$5:$G$54)</f>
        <v>26</v>
      </c>
    </row>
    <row r="47" customFormat="false" ht="15" hidden="false" customHeight="true" outlineLevel="0" collapsed="false">
      <c r="A47" s="9" t="s">
        <v>221</v>
      </c>
      <c r="B47" s="9" t="s">
        <v>172</v>
      </c>
      <c r="C47" s="9" t="s">
        <v>173</v>
      </c>
      <c r="D47" s="9" t="n">
        <v>13.67</v>
      </c>
      <c r="E47" s="9" t="n">
        <v>44.98</v>
      </c>
      <c r="F47" s="9" t="n">
        <v>25131</v>
      </c>
      <c r="G47" s="10" t="n">
        <f aca="false">F47*E47</f>
        <v>1130392.38</v>
      </c>
      <c r="H47" s="10" t="n">
        <f aca="false">F47*D47</f>
        <v>343540.77</v>
      </c>
      <c r="I47" s="11" t="n">
        <f aca="false">RANK(G47,$G$5:$G$54)</f>
        <v>11</v>
      </c>
    </row>
    <row r="48" customFormat="false" ht="15" hidden="false" customHeight="true" outlineLevel="0" collapsed="false">
      <c r="A48" s="9" t="s">
        <v>222</v>
      </c>
      <c r="B48" s="9" t="s">
        <v>178</v>
      </c>
      <c r="C48" s="9" t="s">
        <v>173</v>
      </c>
      <c r="D48" s="9" t="n">
        <v>8.44</v>
      </c>
      <c r="E48" s="9" t="n">
        <v>28.95</v>
      </c>
      <c r="F48" s="9" t="n">
        <v>16696</v>
      </c>
      <c r="G48" s="10" t="n">
        <f aca="false">F48*E48</f>
        <v>483349.2</v>
      </c>
      <c r="H48" s="10" t="n">
        <f aca="false">F48*D48</f>
        <v>140914.24</v>
      </c>
      <c r="I48" s="11" t="n">
        <f aca="false">RANK(G48,$G$5:$G$54)</f>
        <v>38</v>
      </c>
    </row>
    <row r="49" customFormat="false" ht="15" hidden="false" customHeight="true" outlineLevel="0" collapsed="false">
      <c r="A49" s="9" t="s">
        <v>223</v>
      </c>
      <c r="B49" s="9" t="s">
        <v>178</v>
      </c>
      <c r="C49" s="9" t="s">
        <v>192</v>
      </c>
      <c r="D49" s="9" t="n">
        <v>11.41</v>
      </c>
      <c r="E49" s="9" t="n">
        <v>29.88</v>
      </c>
      <c r="F49" s="9" t="n">
        <v>26736</v>
      </c>
      <c r="G49" s="10" t="n">
        <f aca="false">F49*E49</f>
        <v>798871.68</v>
      </c>
      <c r="H49" s="10" t="n">
        <f aca="false">F49*D49</f>
        <v>305057.76</v>
      </c>
      <c r="I49" s="11" t="n">
        <f aca="false">RANK(G49,$G$5:$G$54)</f>
        <v>19</v>
      </c>
    </row>
    <row r="50" customFormat="false" ht="15" hidden="false" customHeight="true" outlineLevel="0" collapsed="false">
      <c r="A50" s="9" t="s">
        <v>224</v>
      </c>
      <c r="B50" s="9" t="s">
        <v>172</v>
      </c>
      <c r="C50" s="9" t="s">
        <v>192</v>
      </c>
      <c r="D50" s="9" t="n">
        <v>9.85</v>
      </c>
      <c r="E50" s="9" t="n">
        <v>32.21</v>
      </c>
      <c r="F50" s="9" t="n">
        <v>43090</v>
      </c>
      <c r="G50" s="10" t="n">
        <f aca="false">F50*E50</f>
        <v>1387928.9</v>
      </c>
      <c r="H50" s="10" t="n">
        <f aca="false">F50*D50</f>
        <v>424436.5</v>
      </c>
      <c r="I50" s="11" t="n">
        <f aca="false">RANK(G50,$G$5:$G$54)</f>
        <v>6</v>
      </c>
    </row>
    <row r="51" customFormat="false" ht="15" hidden="false" customHeight="true" outlineLevel="0" collapsed="false">
      <c r="A51" s="9" t="s">
        <v>225</v>
      </c>
      <c r="B51" s="9" t="s">
        <v>169</v>
      </c>
      <c r="C51" s="9" t="s">
        <v>173</v>
      </c>
      <c r="D51" s="9" t="n">
        <v>6.61</v>
      </c>
      <c r="E51" s="9" t="n">
        <v>18.74</v>
      </c>
      <c r="F51" s="9" t="n">
        <v>14251</v>
      </c>
      <c r="G51" s="10" t="n">
        <f aca="false">F51*E51</f>
        <v>267063.74</v>
      </c>
      <c r="H51" s="10" t="n">
        <f aca="false">F51*D51</f>
        <v>94199.11</v>
      </c>
      <c r="I51" s="11" t="n">
        <f aca="false">RANK(G51,$G$5:$G$54)</f>
        <v>48</v>
      </c>
    </row>
    <row r="52" customFormat="false" ht="15" hidden="false" customHeight="true" outlineLevel="0" collapsed="false">
      <c r="A52" s="9" t="s">
        <v>226</v>
      </c>
      <c r="B52" s="9" t="s">
        <v>169</v>
      </c>
      <c r="C52" s="9" t="s">
        <v>173</v>
      </c>
      <c r="D52" s="9" t="n">
        <v>8.93</v>
      </c>
      <c r="E52" s="9" t="n">
        <v>29.87</v>
      </c>
      <c r="F52" s="9" t="n">
        <v>15610</v>
      </c>
      <c r="G52" s="10" t="n">
        <f aca="false">F52*E52</f>
        <v>466270.7</v>
      </c>
      <c r="H52" s="10" t="n">
        <f aca="false">F52*D52</f>
        <v>139397.3</v>
      </c>
      <c r="I52" s="11" t="n">
        <f aca="false">RANK(G52,$G$5:$G$54)</f>
        <v>40</v>
      </c>
    </row>
    <row r="53" customFormat="false" ht="15" hidden="false" customHeight="true" outlineLevel="0" collapsed="false">
      <c r="A53" s="9" t="s">
        <v>227</v>
      </c>
      <c r="B53" s="9" t="s">
        <v>199</v>
      </c>
      <c r="C53" s="9" t="s">
        <v>173</v>
      </c>
      <c r="D53" s="9" t="n">
        <v>8.11</v>
      </c>
      <c r="E53" s="9" t="n">
        <v>25.63</v>
      </c>
      <c r="F53" s="9" t="n">
        <v>28585</v>
      </c>
      <c r="G53" s="10" t="n">
        <f aca="false">F53*E53</f>
        <v>732633.55</v>
      </c>
      <c r="H53" s="10" t="n">
        <f aca="false">F53*D53</f>
        <v>231824.35</v>
      </c>
      <c r="I53" s="11" t="n">
        <f aca="false">RANK(G53,$G$5:$G$54)</f>
        <v>25</v>
      </c>
    </row>
    <row r="54" customFormat="false" ht="15" hidden="false" customHeight="true" outlineLevel="0" collapsed="false">
      <c r="A54" s="9" t="s">
        <v>228</v>
      </c>
      <c r="B54" s="9" t="s">
        <v>172</v>
      </c>
      <c r="C54" s="9" t="s">
        <v>179</v>
      </c>
      <c r="D54" s="9" t="n">
        <v>8.75</v>
      </c>
      <c r="E54" s="9" t="n">
        <v>30.24</v>
      </c>
      <c r="F54" s="9" t="n">
        <v>12858</v>
      </c>
      <c r="G54" s="10" t="n">
        <f aca="false">F54*E54</f>
        <v>388825.92</v>
      </c>
      <c r="H54" s="10" t="n">
        <f aca="false">F54*D54</f>
        <v>112507.5</v>
      </c>
      <c r="I54" s="11" t="n">
        <f aca="false">RANK(G54,$G$5:$G$54)</f>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18"/>
    <col collapsed="false" customWidth="true" hidden="false" outlineLevel="0" max="3" min="3" style="1" width="55"/>
  </cols>
  <sheetData>
    <row r="1" customFormat="false" ht="17.25" hidden="false" customHeight="true" outlineLevel="0" collapsed="false">
      <c r="A1" s="2" t="s">
        <v>229</v>
      </c>
    </row>
    <row r="3" customFormat="false" ht="15" hidden="false" customHeight="true" outlineLevel="0" collapsed="false">
      <c r="A3" s="6" t="s">
        <v>230</v>
      </c>
      <c r="B3" s="6" t="s">
        <v>231</v>
      </c>
      <c r="C3" s="6" t="s">
        <v>232</v>
      </c>
    </row>
    <row r="4" customFormat="false" ht="30" hidden="false" customHeight="true" outlineLevel="0" collapsed="false">
      <c r="A4" s="4" t="s">
        <v>233</v>
      </c>
      <c r="B4" s="12" t="n">
        <v>0.12</v>
      </c>
      <c r="C4" s="13" t="s">
        <v>234</v>
      </c>
    </row>
    <row r="5" customFormat="false" ht="30" hidden="false" customHeight="true" outlineLevel="0" collapsed="false">
      <c r="A5" s="4" t="s">
        <v>235</v>
      </c>
      <c r="B5" s="14" t="n">
        <v>21</v>
      </c>
      <c r="C5" s="13" t="s">
        <v>236</v>
      </c>
    </row>
    <row r="6" customFormat="false" ht="30" hidden="false" customHeight="true" outlineLevel="0" collapsed="false">
      <c r="A6" s="4" t="s">
        <v>237</v>
      </c>
      <c r="B6" s="14" t="n">
        <v>3</v>
      </c>
      <c r="C6" s="13" t="s">
        <v>238</v>
      </c>
    </row>
    <row r="7" customFormat="false" ht="30" hidden="false" customHeight="true" outlineLevel="0" collapsed="false">
      <c r="A7" s="4" t="s">
        <v>239</v>
      </c>
      <c r="B7" s="12" t="n">
        <v>0.15</v>
      </c>
      <c r="C7" s="13" t="s">
        <v>240</v>
      </c>
    </row>
    <row r="8" customFormat="false" ht="30" hidden="false" customHeight="true" outlineLevel="0" collapsed="false">
      <c r="A8" s="4" t="s">
        <v>241</v>
      </c>
      <c r="B8" s="12" t="n">
        <v>0.4</v>
      </c>
      <c r="C8" s="13" t="s">
        <v>242</v>
      </c>
    </row>
    <row r="9" customFormat="false" ht="30" hidden="false" customHeight="true" outlineLevel="0" collapsed="false">
      <c r="A9" s="4" t="s">
        <v>243</v>
      </c>
      <c r="B9" s="12" t="n">
        <v>0.3</v>
      </c>
      <c r="C9" s="13" t="s">
        <v>244</v>
      </c>
    </row>
    <row r="10" customFormat="false" ht="30" hidden="false" customHeight="true" outlineLevel="0" collapsed="false">
      <c r="A10" s="4" t="s">
        <v>245</v>
      </c>
      <c r="B10" s="12" t="n">
        <v>0.5</v>
      </c>
      <c r="C10" s="13" t="s">
        <v>246</v>
      </c>
    </row>
    <row r="11" customFormat="false" ht="30" hidden="false" customHeight="true" outlineLevel="0" collapsed="false">
      <c r="A11" s="4" t="s">
        <v>247</v>
      </c>
      <c r="B11" s="15" t="n">
        <v>5</v>
      </c>
      <c r="C11" s="13" t="s">
        <v>248</v>
      </c>
    </row>
    <row r="12" customFormat="false" ht="30" hidden="false" customHeight="true" outlineLevel="0" collapsed="false">
      <c r="A12" s="4" t="s">
        <v>249</v>
      </c>
      <c r="B12" s="14" t="n">
        <v>4</v>
      </c>
      <c r="C12" s="13" t="s">
        <v>250</v>
      </c>
    </row>
    <row r="13" customFormat="false" ht="30" hidden="false" customHeight="true" outlineLevel="0" collapsed="false">
      <c r="A13" s="4" t="s">
        <v>251</v>
      </c>
      <c r="B13" s="14" t="n">
        <v>42</v>
      </c>
      <c r="C13" s="13" t="s">
        <v>252</v>
      </c>
    </row>
    <row r="14" customFormat="false" ht="30" hidden="false" customHeight="true" outlineLevel="0" collapsed="false">
      <c r="A14" s="4" t="s">
        <v>253</v>
      </c>
      <c r="B14" s="12" t="n">
        <v>0.25</v>
      </c>
      <c r="C14" s="13" t="s">
        <v>254</v>
      </c>
    </row>
    <row r="15" customFormat="false" ht="30" hidden="false" customHeight="true" outlineLevel="0" collapsed="false">
      <c r="A15" s="4" t="s">
        <v>255</v>
      </c>
      <c r="B15" s="12" t="n">
        <v>0.35</v>
      </c>
      <c r="C15" s="13" t="s">
        <v>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0"/>
  </cols>
  <sheetData>
    <row r="1" customFormat="false" ht="17.25" hidden="false" customHeight="true" outlineLevel="0" collapsed="false">
      <c r="A1" s="2" t="s">
        <v>257</v>
      </c>
    </row>
    <row r="2" customFormat="false" ht="15" hidden="false" customHeight="true" outlineLevel="0" collapsed="false">
      <c r="A2" s="4" t="s">
        <v>258</v>
      </c>
    </row>
    <row r="4" customFormat="false" ht="15" hidden="false" customHeight="true" outlineLevel="0" collapsed="false">
      <c r="A4" s="4" t="s">
        <v>259</v>
      </c>
      <c r="B4" s="16" t="n">
        <f aca="false">SUM(02_SKU_Sales_Data!$G$5:$G$54)</f>
        <v>43143136.44</v>
      </c>
    </row>
    <row r="5" customFormat="false" ht="15" hidden="false" customHeight="true" outlineLevel="0" collapsed="false">
      <c r="A5" s="4" t="s">
        <v>260</v>
      </c>
      <c r="B5" s="16" t="n">
        <f aca="false">SUM(02_SKU_Sales_Data!$H$5:$H$54)</f>
        <v>13404378.87</v>
      </c>
    </row>
    <row r="6" customFormat="false" ht="15" hidden="false" customHeight="true" outlineLevel="0" collapsed="false">
      <c r="A6" s="4" t="s">
        <v>261</v>
      </c>
      <c r="B6" s="16" t="n">
        <f aca="false">B4/2</f>
        <v>21571568.22</v>
      </c>
    </row>
    <row r="7" customFormat="false" ht="15" hidden="false" customHeight="true" outlineLevel="0" collapsed="false">
      <c r="A7" s="4" t="s">
        <v>262</v>
      </c>
      <c r="B7" s="16" t="n">
        <f aca="false">B5/2</f>
        <v>6702189.435</v>
      </c>
    </row>
    <row r="8" customFormat="false" ht="15" hidden="false" customHeight="true" outlineLevel="0" collapsed="false">
      <c r="A8" s="17" t="s">
        <v>263</v>
      </c>
      <c r="B8" s="16" t="n">
        <f aca="false">B6-B7</f>
        <v>14869378.785</v>
      </c>
    </row>
    <row r="9" customFormat="false" ht="15" hidden="false" customHeight="true" outlineLevel="0" collapsed="false">
      <c r="A9" s="4" t="s">
        <v>264</v>
      </c>
      <c r="B9" s="18" t="n">
        <f aca="false">B8/B6</f>
        <v>0.689304487895966</v>
      </c>
    </row>
    <row r="10" customFormat="false" ht="15" hidden="false" customHeight="true" outlineLevel="0" collapsed="false">
      <c r="A10" s="4" t="s">
        <v>265</v>
      </c>
      <c r="B10" s="19" t="n">
        <f aca="false">SUM(02_SKU_Sales_Data!$F$5:$F$54)</f>
        <v>1368763</v>
      </c>
    </row>
    <row r="11" customFormat="false" ht="15" hidden="false" customHeight="true" outlineLevel="0" collapsed="false">
      <c r="A11" s="4" t="s">
        <v>266</v>
      </c>
      <c r="B11" s="19" t="n">
        <f aca="false">B10/2</f>
        <v>684381.5</v>
      </c>
    </row>
    <row r="12" customFormat="false" ht="15" hidden="false" customHeight="true" outlineLevel="0" collapsed="false">
      <c r="A12" s="4" t="s">
        <v>267</v>
      </c>
      <c r="B12" s="20" t="n">
        <f aca="false">B6/B11</f>
        <v>31.5198003160518</v>
      </c>
    </row>
    <row r="13" customFormat="false" ht="15" hidden="false" customHeight="true" outlineLevel="0" collapsed="false">
      <c r="A13" s="4" t="s">
        <v>268</v>
      </c>
      <c r="B13" s="20" t="n">
        <f aca="false">B7/B11</f>
        <v>9.7930605006126</v>
      </c>
    </row>
    <row r="14" customFormat="false" ht="15" hidden="false" customHeight="true" outlineLevel="0" collapsed="false">
      <c r="A14" s="4" t="s">
        <v>269</v>
      </c>
      <c r="B14" s="20" t="n">
        <f aca="false">B12-B13</f>
        <v>21.7267398154392</v>
      </c>
    </row>
    <row r="15" customFormat="false" ht="15" hidden="false" customHeight="true" outlineLevel="0" collapsed="false">
      <c r="A15" s="4" t="s">
        <v>270</v>
      </c>
      <c r="B15" s="19" t="n">
        <f aca="false">B11/52</f>
        <v>13161.1826923077</v>
      </c>
    </row>
    <row r="17" customFormat="false" ht="15" hidden="false" customHeight="true" outlineLevel="0" collapsed="false">
      <c r="A17" s="17" t="s">
        <v>271</v>
      </c>
    </row>
    <row r="18" customFormat="false" ht="39" hidden="false" customHeight="true" outlineLevel="0" collapsed="false">
      <c r="A18" s="6" t="s">
        <v>272</v>
      </c>
      <c r="B18" s="6" t="s">
        <v>273</v>
      </c>
      <c r="C18" s="6" t="s">
        <v>274</v>
      </c>
    </row>
    <row r="19" customFormat="false" ht="15" hidden="false" customHeight="true" outlineLevel="0" collapsed="false">
      <c r="A19" s="4" t="s">
        <v>179</v>
      </c>
      <c r="B19" s="18" t="n">
        <f aca="false">SUMIF(02_SKU_Sales_Data!$C$5:$C$54,A19,02_SKU_Sales_Data!$G$5:$G$54)/B6/2</f>
        <v>0.360053275486895</v>
      </c>
      <c r="C19" s="20" t="n">
        <f aca="false">AVERAGEIF(02_SKU_Sales_Data!$C$5:$C$54,A19,02_SKU_Sales_Data!$D$5:$D$54)</f>
        <v>9.84444444444444</v>
      </c>
    </row>
    <row r="20" customFormat="false" ht="15" hidden="false" customHeight="true" outlineLevel="0" collapsed="false">
      <c r="A20" s="4" t="s">
        <v>175</v>
      </c>
      <c r="B20" s="18" t="n">
        <f aca="false">SUMIF(02_SKU_Sales_Data!$C$5:$C$54,A20,02_SKU_Sales_Data!$G$5:$G$54)/B6/2</f>
        <v>0.236822421202718</v>
      </c>
      <c r="C20" s="20" t="n">
        <f aca="false">AVERAGEIF(02_SKU_Sales_Data!$C$5:$C$54,A20,02_SKU_Sales_Data!$D$5:$D$54)</f>
        <v>9.573</v>
      </c>
    </row>
    <row r="21" customFormat="false" ht="15" hidden="false" customHeight="true" outlineLevel="0" collapsed="false">
      <c r="A21" s="4" t="s">
        <v>173</v>
      </c>
      <c r="B21" s="18" t="n">
        <f aca="false">SUMIF(02_SKU_Sales_Data!$C$5:$C$54,A21,02_SKU_Sales_Data!$G$5:$G$54)/B6/2</f>
        <v>0.173467266581511</v>
      </c>
      <c r="C21" s="20" t="n">
        <f aca="false">AVERAGEIF(02_SKU_Sales_Data!$C$5:$C$54,A21,02_SKU_Sales_Data!$D$5:$D$54)</f>
        <v>9.445</v>
      </c>
    </row>
    <row r="22" customFormat="false" ht="15" hidden="false" customHeight="true" outlineLevel="0" collapsed="false">
      <c r="A22" s="4" t="s">
        <v>170</v>
      </c>
      <c r="B22" s="18" t="n">
        <f aca="false">SUMIF(02_SKU_Sales_Data!$C$5:$C$54,A22,02_SKU_Sales_Data!$G$5:$G$54)/B6/2</f>
        <v>0.139699783959425</v>
      </c>
      <c r="C22" s="20" t="n">
        <f aca="false">AVERAGEIF(02_SKU_Sales_Data!$C$5:$C$54,A22,02_SKU_Sales_Data!$D$5:$D$54)</f>
        <v>7.56333333333333</v>
      </c>
    </row>
    <row r="23" customFormat="false" ht="15" hidden="false" customHeight="true" outlineLevel="0" collapsed="false">
      <c r="A23" s="4" t="s">
        <v>192</v>
      </c>
      <c r="B23" s="18" t="n">
        <f aca="false">SUMIF(02_SKU_Sales_Data!$C$5:$C$54,A23,02_SKU_Sales_Data!$G$5:$G$54)/B6/2</f>
        <v>0.0899572527694512</v>
      </c>
      <c r="C23" s="20" t="n">
        <f aca="false">AVERAGEIF(02_SKU_Sales_Data!$C$5:$C$54,A23,02_SKU_Sales_Data!$D$5:$D$54)</f>
        <v>11.065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18"/>
    <col collapsed="false" customWidth="true" hidden="false" outlineLevel="0" max="4" min="4" style="1" width="20"/>
    <col collapsed="false" customWidth="true" hidden="false" outlineLevel="0" max="5" min="5" style="1" width="16"/>
    <col collapsed="false" customWidth="true" hidden="false" outlineLevel="0" max="6" min="6" style="1" width="22"/>
    <col collapsed="false" customWidth="true" hidden="false" outlineLevel="0" max="7" min="7" style="1" width="18"/>
  </cols>
  <sheetData>
    <row r="1" customFormat="false" ht="17.25" hidden="false" customHeight="true" outlineLevel="0" collapsed="false">
      <c r="A1" s="2" t="s">
        <v>275</v>
      </c>
    </row>
    <row r="2" customFormat="false" ht="15" hidden="false" customHeight="true" outlineLevel="0" collapsed="false">
      <c r="A2" s="4" t="s">
        <v>276</v>
      </c>
    </row>
    <row r="4" customFormat="false" ht="26.25" hidden="false" customHeight="true" outlineLevel="0" collapsed="false">
      <c r="A4" s="6" t="s">
        <v>277</v>
      </c>
      <c r="B4" s="6" t="s">
        <v>278</v>
      </c>
      <c r="C4" s="6" t="s">
        <v>279</v>
      </c>
      <c r="D4" s="6" t="s">
        <v>280</v>
      </c>
      <c r="E4" s="6" t="s">
        <v>281</v>
      </c>
      <c r="F4" s="6" t="s">
        <v>282</v>
      </c>
      <c r="G4" s="6" t="s">
        <v>283</v>
      </c>
    </row>
    <row r="5" customFormat="false" ht="15" hidden="false" customHeight="true" outlineLevel="0" collapsed="false">
      <c r="A5" s="9" t="n">
        <v>91</v>
      </c>
      <c r="B5" s="9" t="n">
        <v>13055</v>
      </c>
      <c r="C5" s="9" t="n">
        <v>15600.69</v>
      </c>
      <c r="D5" s="9" t="n">
        <v>12105.15</v>
      </c>
      <c r="E5" s="9" t="n">
        <v>12193.19</v>
      </c>
      <c r="F5" s="21" t="n">
        <f aca="false">ABS((B5-D5)/B5)</f>
        <v>0.0727575641516661</v>
      </c>
      <c r="G5" s="21" t="n">
        <f aca="false">ABS((B5-E5)/B5)</f>
        <v>0.0660137878207583</v>
      </c>
    </row>
    <row r="6" customFormat="false" ht="15" hidden="false" customHeight="true" outlineLevel="0" collapsed="false">
      <c r="A6" s="9" t="n">
        <v>92</v>
      </c>
      <c r="B6" s="9" t="n">
        <v>16739</v>
      </c>
      <c r="C6" s="9" t="n">
        <v>15600.69</v>
      </c>
      <c r="D6" s="9" t="n">
        <v>12430.97</v>
      </c>
      <c r="E6" s="9" t="n">
        <v>12547.84</v>
      </c>
      <c r="F6" s="21" t="n">
        <f aca="false">ABS((B6-D6)/B6)</f>
        <v>0.257364836609116</v>
      </c>
      <c r="G6" s="21" t="n">
        <f aca="false">ABS((B6-E6)/B6)</f>
        <v>0.250382938048868</v>
      </c>
    </row>
    <row r="7" customFormat="false" ht="15" hidden="false" customHeight="true" outlineLevel="0" collapsed="false">
      <c r="A7" s="9" t="n">
        <v>93</v>
      </c>
      <c r="B7" s="9" t="n">
        <v>20185</v>
      </c>
      <c r="C7" s="9" t="n">
        <v>15600.69</v>
      </c>
      <c r="D7" s="9" t="n">
        <v>13651.98</v>
      </c>
      <c r="E7" s="9" t="n">
        <v>13683.07</v>
      </c>
      <c r="F7" s="21" t="n">
        <f aca="false">ABS((B7-D7)/B7)</f>
        <v>0.323657171166708</v>
      </c>
      <c r="G7" s="21" t="n">
        <f aca="false">ABS((B7-E7)/B7)</f>
        <v>0.32211691850384</v>
      </c>
    </row>
    <row r="8" customFormat="false" ht="15" hidden="false" customHeight="true" outlineLevel="0" collapsed="false">
      <c r="A8" s="9" t="n">
        <v>94</v>
      </c>
      <c r="B8" s="9" t="n">
        <v>23340</v>
      </c>
      <c r="C8" s="9" t="n">
        <v>15600.69</v>
      </c>
      <c r="D8" s="9" t="n">
        <v>15040.37</v>
      </c>
      <c r="E8" s="9" t="n">
        <v>14746.27</v>
      </c>
      <c r="F8" s="21" t="n">
        <f aca="false">ABS((B8-D8)/B8)</f>
        <v>0.355596829477292</v>
      </c>
      <c r="G8" s="21" t="n">
        <f aca="false">ABS((B8-E8)/B8)</f>
        <v>0.368197514995716</v>
      </c>
    </row>
    <row r="9" customFormat="false" ht="15" hidden="false" customHeight="true" outlineLevel="0" collapsed="false">
      <c r="A9" s="9" t="n">
        <v>95</v>
      </c>
      <c r="B9" s="9" t="n">
        <v>22760</v>
      </c>
      <c r="C9" s="9" t="n">
        <v>15600.69</v>
      </c>
      <c r="D9" s="9" t="n">
        <v>16112.86</v>
      </c>
      <c r="E9" s="9" t="n">
        <v>15452.44</v>
      </c>
      <c r="F9" s="21" t="n">
        <f aca="false">ABS((B9-D9)/B9)</f>
        <v>0.292053602811951</v>
      </c>
      <c r="G9" s="21" t="n">
        <f aca="false">ABS((B9-E9)/B9)</f>
        <v>0.321070298769772</v>
      </c>
    </row>
    <row r="10" customFormat="false" ht="15" hidden="false" customHeight="true" outlineLevel="0" collapsed="false">
      <c r="A10" s="9" t="n">
        <v>96</v>
      </c>
      <c r="B10" s="9" t="n">
        <v>19789</v>
      </c>
      <c r="C10" s="9" t="n">
        <v>15600.69</v>
      </c>
      <c r="D10" s="9" t="n">
        <v>16270</v>
      </c>
      <c r="E10" s="9" t="n">
        <v>15095.62</v>
      </c>
      <c r="F10" s="21" t="n">
        <f aca="false">ABS((B10-D10)/B10)</f>
        <v>0.177826064985598</v>
      </c>
      <c r="G10" s="21" t="n">
        <f aca="false">ABS((B10-E10)/B10)</f>
        <v>0.237171155692556</v>
      </c>
    </row>
    <row r="11" customFormat="false" ht="15" hidden="false" customHeight="true" outlineLevel="0" collapsed="false">
      <c r="A11" s="9" t="n">
        <v>97</v>
      </c>
      <c r="B11" s="9" t="n">
        <v>17030</v>
      </c>
      <c r="C11" s="9" t="n">
        <v>15600.69</v>
      </c>
      <c r="D11" s="9" t="n">
        <v>16149.11</v>
      </c>
      <c r="E11" s="9" t="n">
        <v>14476.46</v>
      </c>
      <c r="F11" s="21" t="n">
        <f aca="false">ABS((B11-D11)/B11)</f>
        <v>0.0517257780387551</v>
      </c>
      <c r="G11" s="21" t="n">
        <f aca="false">ABS((B11-E11)/B11)</f>
        <v>0.149943628890194</v>
      </c>
    </row>
    <row r="12" customFormat="false" ht="15" hidden="false" customHeight="true" outlineLevel="0" collapsed="false">
      <c r="A12" s="9" t="n">
        <v>98</v>
      </c>
      <c r="B12" s="9" t="n">
        <v>13899</v>
      </c>
      <c r="C12" s="9" t="n">
        <v>15600.69</v>
      </c>
      <c r="D12" s="9" t="n">
        <v>15849.99</v>
      </c>
      <c r="E12" s="9" t="n">
        <v>13691.76</v>
      </c>
      <c r="F12" s="21" t="n">
        <f aca="false">ABS((B12-D12)/B12)</f>
        <v>0.140369091301532</v>
      </c>
      <c r="G12" s="21" t="n">
        <f aca="false">ABS((B12-E12)/B12)</f>
        <v>0.0149104252104468</v>
      </c>
    </row>
    <row r="13" customFormat="false" ht="15" hidden="false" customHeight="true" outlineLevel="0" collapsed="false">
      <c r="A13" s="9" t="n">
        <v>99</v>
      </c>
      <c r="B13" s="9" t="n">
        <v>11508</v>
      </c>
      <c r="C13" s="9" t="n">
        <v>15600.69</v>
      </c>
      <c r="D13" s="9" t="n">
        <v>14935.39</v>
      </c>
      <c r="E13" s="9" t="n">
        <v>12537.5</v>
      </c>
      <c r="F13" s="21" t="n">
        <f aca="false">ABS((B13-D13)/B13)</f>
        <v>0.297826729231839</v>
      </c>
      <c r="G13" s="21" t="n">
        <f aca="false">ABS((B13-E13)/B13)</f>
        <v>0.0894595064303094</v>
      </c>
    </row>
    <row r="14" customFormat="false" ht="15" hidden="false" customHeight="true" outlineLevel="0" collapsed="false">
      <c r="A14" s="9" t="n">
        <v>100</v>
      </c>
      <c r="B14" s="9" t="n">
        <v>9941</v>
      </c>
      <c r="C14" s="9" t="n">
        <v>15600.69</v>
      </c>
      <c r="D14" s="9" t="n">
        <v>14372.94</v>
      </c>
      <c r="E14" s="9" t="n">
        <v>11841.93</v>
      </c>
      <c r="F14" s="21" t="n">
        <f aca="false">ABS((B14-D14)/B14)</f>
        <v>0.445824363746102</v>
      </c>
      <c r="G14" s="21" t="n">
        <f aca="false">ABS((B14-E14)/B14)</f>
        <v>0.19122120511015</v>
      </c>
    </row>
    <row r="15" customFormat="false" ht="15" hidden="false" customHeight="true" outlineLevel="0" collapsed="false">
      <c r="A15" s="9" t="n">
        <v>101</v>
      </c>
      <c r="B15" s="9" t="n">
        <v>8994</v>
      </c>
      <c r="C15" s="9" t="n">
        <v>15600.69</v>
      </c>
      <c r="D15" s="9" t="n">
        <v>13761.35</v>
      </c>
      <c r="E15" s="9" t="n">
        <v>11325.13</v>
      </c>
      <c r="F15" s="21" t="n">
        <f aca="false">ABS((B15-D15)/B15)</f>
        <v>0.530058928174339</v>
      </c>
      <c r="G15" s="21" t="n">
        <f aca="false">ABS((B15-E15)/B15)</f>
        <v>0.259187235935068</v>
      </c>
    </row>
    <row r="16" customFormat="false" ht="15" hidden="false" customHeight="true" outlineLevel="0" collapsed="false">
      <c r="A16" s="9" t="n">
        <v>102</v>
      </c>
      <c r="B16" s="9" t="n">
        <v>8482</v>
      </c>
      <c r="C16" s="9" t="n">
        <v>15600.69</v>
      </c>
      <c r="D16" s="9" t="n">
        <v>13417.54</v>
      </c>
      <c r="E16" s="9" t="n">
        <v>11175.51</v>
      </c>
      <c r="F16" s="21" t="n">
        <f aca="false">ABS((B16-D16)/B16)</f>
        <v>0.581883989625089</v>
      </c>
      <c r="G16" s="21" t="n">
        <f aca="false">ABS((B16-E16)/B16)</f>
        <v>0.317556000943174</v>
      </c>
    </row>
    <row r="17" customFormat="false" ht="15" hidden="false" customHeight="true" outlineLevel="0" collapsed="false">
      <c r="A17" s="9" t="n">
        <v>103</v>
      </c>
      <c r="B17" s="9" t="n">
        <v>8865</v>
      </c>
      <c r="C17" s="9" t="n">
        <v>15600.69</v>
      </c>
      <c r="D17" s="9" t="n">
        <v>13507.45</v>
      </c>
      <c r="E17" s="9" t="n">
        <v>11684.95</v>
      </c>
      <c r="F17" s="21" t="n">
        <f aca="false">ABS((B17-D17)/B17)</f>
        <v>0.523683023124648</v>
      </c>
      <c r="G17" s="21" t="n">
        <f aca="false">ABS((B17-E17)/B17)</f>
        <v>0.31809926677947</v>
      </c>
    </row>
    <row r="19" customFormat="false" ht="15" hidden="false" customHeight="true" outlineLevel="0" collapsed="false">
      <c r="A19" s="17" t="s">
        <v>284</v>
      </c>
    </row>
    <row r="20" customFormat="false" ht="26.25" hidden="false" customHeight="true" outlineLevel="0" collapsed="false">
      <c r="A20" s="6" t="s">
        <v>285</v>
      </c>
      <c r="B20" s="6" t="s">
        <v>286</v>
      </c>
      <c r="C20" s="6" t="s">
        <v>287</v>
      </c>
    </row>
    <row r="21" customFormat="false" ht="15" hidden="false" customHeight="true" outlineLevel="0" collapsed="false">
      <c r="A21" s="4" t="s">
        <v>288</v>
      </c>
      <c r="B21" s="18" t="n">
        <f aca="false">SUMPRODUCT(ABS((B5:B17-C5:C17)/B5:B17))/COUNT(B5:B17)</f>
        <v>0.370221726103758</v>
      </c>
      <c r="C21" s="22" t="n">
        <f aca="false">SQRT(SUMPRODUCT((B5:B17-C5:C17)^2)/COUNT(B5:B17))</f>
        <v>5195.42152824003</v>
      </c>
    </row>
    <row r="22" customFormat="false" ht="15" hidden="false" customHeight="true" outlineLevel="0" collapsed="false">
      <c r="A22" s="4" t="s">
        <v>289</v>
      </c>
      <c r="B22" s="18" t="n">
        <f aca="false">AVERAGE(F5:F17)</f>
        <v>0.311586767111126</v>
      </c>
      <c r="C22" s="22" t="n">
        <f aca="false">SQRT(SUMPRODUCT((B5:B17-D5:D17)^2)/COUNT(B5:B17))</f>
        <v>4741.01842195243</v>
      </c>
    </row>
    <row r="23" customFormat="false" ht="15" hidden="false" customHeight="true" outlineLevel="0" collapsed="false">
      <c r="A23" s="17" t="s">
        <v>290</v>
      </c>
      <c r="B23" s="18" t="n">
        <f aca="false">AVERAGE(G5:G17)</f>
        <v>0.223486914086948</v>
      </c>
      <c r="C23" s="22" t="n">
        <f aca="false">SQRT(SUMPRODUCT((B5:B17-E5:E17)^2)/COUNT(B5:B17))</f>
        <v>4312.2569309523</v>
      </c>
    </row>
    <row r="25" customFormat="false" ht="15" hidden="false" customHeight="true" outlineLevel="0" collapsed="false">
      <c r="A25" s="17" t="str">
        <f aca="false">"WINNER: "&amp;IF(B23&lt;B22,"SARIMA","Holt-Winters")&amp;" — selected for production forecast based on lower live-computed MAPE above."</f>
        <v>WINNER: SARIMA — selected for production forecast based on lower live-computed MAPE above.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8" min="2" style="1" width="12"/>
  </cols>
  <sheetData>
    <row r="1" customFormat="false" ht="17.25" hidden="false" customHeight="true" outlineLevel="0" collapsed="false">
      <c r="A1" s="2" t="s">
        <v>291</v>
      </c>
    </row>
    <row r="2" customFormat="false" ht="15" hidden="false" customHeight="true" outlineLevel="0" collapsed="false">
      <c r="A2" s="4" t="s">
        <v>292</v>
      </c>
    </row>
    <row r="4" customFormat="false" ht="15" hidden="false" customHeight="true" outlineLevel="0" collapsed="false">
      <c r="A4" s="17" t="s">
        <v>293</v>
      </c>
    </row>
    <row r="5" customFormat="false" ht="39" hidden="false" customHeight="true" outlineLevel="0" collapsed="false">
      <c r="A5" s="6" t="s">
        <v>294</v>
      </c>
      <c r="B5" s="6" t="s">
        <v>295</v>
      </c>
      <c r="C5" s="6" t="s">
        <v>296</v>
      </c>
      <c r="D5" s="6" t="s">
        <v>297</v>
      </c>
      <c r="E5" s="6" t="s">
        <v>298</v>
      </c>
      <c r="F5" s="6" t="s">
        <v>299</v>
      </c>
      <c r="G5" s="6" t="s">
        <v>300</v>
      </c>
      <c r="H5" s="6" t="s">
        <v>301</v>
      </c>
    </row>
    <row r="6" customFormat="false" ht="15" hidden="false" customHeight="true" outlineLevel="0" collapsed="false">
      <c r="A6" s="23" t="s">
        <v>302</v>
      </c>
      <c r="B6" s="23" t="n">
        <v>4</v>
      </c>
      <c r="C6" s="23" t="n">
        <v>10</v>
      </c>
      <c r="D6" s="23" t="n">
        <v>20</v>
      </c>
      <c r="E6" s="23" t="n">
        <v>12</v>
      </c>
      <c r="F6" s="23" t="n">
        <v>4</v>
      </c>
      <c r="G6" s="23" t="n">
        <v>2.2</v>
      </c>
      <c r="H6" s="23" t="n">
        <v>1</v>
      </c>
    </row>
    <row r="7" customFormat="false" ht="15" hidden="false" customHeight="true" outlineLevel="0" collapsed="false">
      <c r="A7" s="23" t="s">
        <v>303</v>
      </c>
      <c r="B7" s="23" t="n">
        <v>8</v>
      </c>
      <c r="C7" s="23" t="n">
        <v>16</v>
      </c>
      <c r="D7" s="23" t="n">
        <v>30</v>
      </c>
      <c r="E7" s="23" t="n">
        <v>3</v>
      </c>
      <c r="F7" s="23" t="n">
        <v>1.5</v>
      </c>
      <c r="G7" s="23" t="n">
        <v>1.1</v>
      </c>
      <c r="H7" s="23" t="n">
        <v>1</v>
      </c>
    </row>
    <row r="8" customFormat="false" ht="15" hidden="false" customHeight="true" outlineLevel="0" collapsed="false">
      <c r="A8" s="23" t="s">
        <v>304</v>
      </c>
      <c r="B8" s="23" t="n">
        <v>6</v>
      </c>
      <c r="C8" s="23" t="n">
        <v>8</v>
      </c>
      <c r="D8" s="23" t="n">
        <v>16</v>
      </c>
      <c r="E8" s="23" t="n">
        <v>0</v>
      </c>
      <c r="F8" s="23" t="n">
        <v>0.5</v>
      </c>
      <c r="G8" s="23" t="n">
        <v>1</v>
      </c>
      <c r="H8" s="23" t="n">
        <v>1.4</v>
      </c>
    </row>
    <row r="9" customFormat="false" ht="15" hidden="false" customHeight="true" outlineLevel="0" collapsed="false">
      <c r="A9" s="17" t="s">
        <v>305</v>
      </c>
    </row>
    <row r="10" customFormat="false" ht="51.75" hidden="false" customHeight="true" outlineLevel="0" collapsed="false">
      <c r="A10" s="6" t="s">
        <v>294</v>
      </c>
      <c r="B10" s="6" t="s">
        <v>306</v>
      </c>
      <c r="C10" s="6" t="s">
        <v>307</v>
      </c>
      <c r="D10" s="6" t="s">
        <v>308</v>
      </c>
      <c r="E10" s="6" t="s">
        <v>309</v>
      </c>
      <c r="F10" s="6" t="s">
        <v>310</v>
      </c>
      <c r="G10" s="6" t="s">
        <v>311</v>
      </c>
      <c r="H10" s="6" t="s">
        <v>312</v>
      </c>
      <c r="I10" s="6" t="s">
        <v>313</v>
      </c>
    </row>
    <row r="11" customFormat="false" ht="15" hidden="false" customHeight="true" outlineLevel="0" collapsed="false">
      <c r="A11" s="4" t="s">
        <v>302</v>
      </c>
      <c r="B11" s="4" t="n">
        <v>1</v>
      </c>
      <c r="C11" s="24" t="n">
        <f aca="true">RAND()</f>
        <v>0.461981908680549</v>
      </c>
      <c r="D11" s="25" t="n">
        <f aca="false">IF(C11&lt;(($C$6-$B$6)/($D$6-$B$6)),$B$6+SQRT(C11*($D$6-$B$6)*($C$6-$B$6)),$D$6-SQRT((1-C11)*($D$6-$B$6)*($D$6-$C$6)))</f>
        <v>10.7219132030837</v>
      </c>
      <c r="E11" s="26" t="n">
        <f aca="true">MAX(0,$E$6+$F$6*_xlfn.NORM.S.INV(RAND()))</f>
        <v>8.9569996866808</v>
      </c>
      <c r="F11" s="27" t="n">
        <f aca="false">1/(1+EXP(-03_Inputs_Assumptions!$B$14*(E11-03_Inputs_Assumptions!$B$5)))</f>
        <v>0.0469425765394254</v>
      </c>
      <c r="G11" s="28" t="n">
        <f aca="false">D11*04_Baseline_PnL!$B$15*F11*04_Baseline_PnL!$B$14</f>
        <v>143922.499064776</v>
      </c>
      <c r="H11" s="28" t="n">
        <f aca="false">D11*03_Inputs_Assumptions!$B$13*01_Macro_Data!$B$97*($G$6-1)+D11*04_Baseline_PnL!$B$15*04_Baseline_PnL!$B$13*03_Inputs_Assumptions!$B$15*($H$6-1)</f>
        <v>1309891.84725546</v>
      </c>
      <c r="I11" s="16" t="n">
        <f aca="false">G11+H11</f>
        <v>1453814.34632023</v>
      </c>
    </row>
    <row r="12" customFormat="false" ht="15" hidden="false" customHeight="true" outlineLevel="0" collapsed="false">
      <c r="A12" s="4" t="s">
        <v>302</v>
      </c>
      <c r="B12" s="4" t="n">
        <v>2</v>
      </c>
      <c r="C12" s="24" t="n">
        <f aca="true">RAND()</f>
        <v>0.476047608480815</v>
      </c>
      <c r="D12" s="25" t="n">
        <f aca="false">IF(C12&lt;(($C$6-$B$6)/($D$6-$B$6)),$B$6+SQRT(C12*($D$6-$B$6)*($C$6-$B$6)),$D$6-SQRT((1-C12)*($D$6-$B$6)*($D$6-$C$6)))</f>
        <v>10.843997452869</v>
      </c>
      <c r="E12" s="26" t="n">
        <f aca="true">MAX(0,$E$6+$F$6*_xlfn.NORM.S.INV(RAND()))</f>
        <v>15.2302626139621</v>
      </c>
      <c r="F12" s="27" t="n">
        <f aca="false">1/(1+EXP(-03_Inputs_Assumptions!$B$14*(E12-03_Inputs_Assumptions!$B$5)))</f>
        <v>0.191168659097206</v>
      </c>
      <c r="G12" s="28" t="n">
        <f aca="false">D12*04_Baseline_PnL!$B$15*F12*04_Baseline_PnL!$B$14</f>
        <v>592782.783983096</v>
      </c>
      <c r="H12" s="28" t="n">
        <f aca="false">D12*03_Inputs_Assumptions!$B$13*01_Macro_Data!$B$97*($G$6-1)+D12*04_Baseline_PnL!$B$15*04_Baseline_PnL!$B$13*03_Inputs_Assumptions!$B$15*($H$6-1)</f>
        <v>1324806.83121802</v>
      </c>
      <c r="I12" s="16" t="n">
        <f aca="false">G12+H12</f>
        <v>1917589.61520112</v>
      </c>
    </row>
    <row r="13" customFormat="false" ht="15" hidden="false" customHeight="true" outlineLevel="0" collapsed="false">
      <c r="A13" s="4" t="s">
        <v>302</v>
      </c>
      <c r="B13" s="4" t="n">
        <v>3</v>
      </c>
      <c r="C13" s="24" t="n">
        <f aca="true">RAND()</f>
        <v>0.497051082287803</v>
      </c>
      <c r="D13" s="25" t="n">
        <f aca="false">IF(C13&lt;(($C$6-$B$6)/($D$6-$B$6)),$B$6+SQRT(C13*($D$6-$B$6)*($C$6-$B$6)),$D$6-SQRT((1-C13)*($D$6-$B$6)*($D$6-$C$6)))</f>
        <v>11.0293909440913</v>
      </c>
      <c r="E13" s="26" t="n">
        <f aca="true">MAX(0,$E$6+$F$6*_xlfn.NORM.S.INV(RAND()))</f>
        <v>17.1854529357114</v>
      </c>
      <c r="F13" s="27" t="n">
        <f aca="false">1/(1+EXP(-03_Inputs_Assumptions!$B$14*(E13-03_Inputs_Assumptions!$B$5)))</f>
        <v>0.278154027411714</v>
      </c>
      <c r="G13" s="28" t="n">
        <f aca="false">D13*04_Baseline_PnL!$B$15*F13*04_Baseline_PnL!$B$14</f>
        <v>877256.035037908</v>
      </c>
      <c r="H13" s="28" t="n">
        <f aca="false">D13*03_Inputs_Assumptions!$B$13*01_Macro_Data!$B$97*($G$6-1)+D13*04_Baseline_PnL!$B$15*04_Baseline_PnL!$B$13*03_Inputs_Assumptions!$B$15*($H$6-1)</f>
        <v>1347456.27988325</v>
      </c>
      <c r="I13" s="16" t="n">
        <f aca="false">G13+H13</f>
        <v>2224712.31492116</v>
      </c>
    </row>
    <row r="14" customFormat="false" ht="15" hidden="false" customHeight="true" outlineLevel="0" collapsed="false">
      <c r="A14" s="4" t="s">
        <v>302</v>
      </c>
      <c r="B14" s="4" t="n">
        <v>4</v>
      </c>
      <c r="C14" s="24" t="n">
        <f aca="true">RAND()</f>
        <v>0.266156770019329</v>
      </c>
      <c r="D14" s="25" t="n">
        <f aca="false">IF(C14&lt;(($C$6-$B$6)/($D$6-$B$6)),$B$6+SQRT(C14*($D$6-$B$6)*($C$6-$B$6)),$D$6-SQRT((1-C14)*($D$6-$B$6)*($D$6-$C$6)))</f>
        <v>9.05480463735797</v>
      </c>
      <c r="E14" s="26" t="n">
        <f aca="true">MAX(0,$E$6+$F$6*_xlfn.NORM.S.INV(RAND()))</f>
        <v>15.3505114251594</v>
      </c>
      <c r="F14" s="27" t="n">
        <f aca="false">1/(1+EXP(-03_Inputs_Assumptions!$B$14*(E14-03_Inputs_Assumptions!$B$5)))</f>
        <v>0.195860176614658</v>
      </c>
      <c r="G14" s="28" t="n">
        <f aca="false">D14*04_Baseline_PnL!$B$15*F14*04_Baseline_PnL!$B$14</f>
        <v>507124.63442274</v>
      </c>
      <c r="H14" s="28" t="n">
        <f aca="false">D14*03_Inputs_Assumptions!$B$13*01_Macro_Data!$B$97*($G$6-1)+D14*04_Baseline_PnL!$B$15*04_Baseline_PnL!$B$13*03_Inputs_Assumptions!$B$15*($H$6-1)</f>
        <v>1106221.86062417</v>
      </c>
      <c r="I14" s="16" t="n">
        <f aca="false">G14+H14</f>
        <v>1613346.49504691</v>
      </c>
    </row>
    <row r="15" customFormat="false" ht="15" hidden="false" customHeight="true" outlineLevel="0" collapsed="false">
      <c r="A15" s="4" t="s">
        <v>302</v>
      </c>
      <c r="B15" s="4" t="n">
        <v>5</v>
      </c>
      <c r="C15" s="24" t="n">
        <f aca="true">RAND()</f>
        <v>0.138902386375415</v>
      </c>
      <c r="D15" s="25" t="n">
        <f aca="false">IF(C15&lt;(($C$6-$B$6)/($D$6-$B$6)),$B$6+SQRT(C15*($D$6-$B$6)*($C$6-$B$6)),$D$6-SQRT((1-C15)*($D$6-$B$6)*($D$6-$C$6)))</f>
        <v>7.65166114145876</v>
      </c>
      <c r="E15" s="26" t="n">
        <f aca="true">MAX(0,$E$6+$F$6*_xlfn.NORM.S.INV(RAND()))</f>
        <v>12.1247163260703</v>
      </c>
      <c r="F15" s="27" t="n">
        <f aca="false">1/(1+EXP(-03_Inputs_Assumptions!$B$14*(E15-03_Inputs_Assumptions!$B$5)))</f>
        <v>0.0980730502166457</v>
      </c>
      <c r="G15" s="28" t="n">
        <f aca="false">D15*04_Baseline_PnL!$B$15*F15*04_Baseline_PnL!$B$14</f>
        <v>214582.792501964</v>
      </c>
      <c r="H15" s="28" t="n">
        <f aca="false">D15*03_Inputs_Assumptions!$B$13*01_Macro_Data!$B$97*($G$6-1)+D15*04_Baseline_PnL!$B$15*04_Baseline_PnL!$B$13*03_Inputs_Assumptions!$B$15*($H$6-1)</f>
        <v>934800.38098756</v>
      </c>
      <c r="I15" s="16" t="n">
        <f aca="false">G15+H15</f>
        <v>1149383.17348952</v>
      </c>
    </row>
    <row r="16" customFormat="false" ht="15" hidden="false" customHeight="true" outlineLevel="0" collapsed="false">
      <c r="A16" s="4" t="s">
        <v>302</v>
      </c>
      <c r="B16" s="4" t="n">
        <v>6</v>
      </c>
      <c r="C16" s="24" t="n">
        <f aca="true">RAND()</f>
        <v>0.251170275203405</v>
      </c>
      <c r="D16" s="25" t="n">
        <f aca="false">IF(C16&lt;(($C$6-$B$6)/($D$6-$B$6)),$B$6+SQRT(C16*($D$6-$B$6)*($C$6-$B$6)),$D$6-SQRT((1-C16)*($D$6-$B$6)*($D$6-$C$6)))</f>
        <v>8.91043240657347</v>
      </c>
      <c r="E16" s="26" t="n">
        <f aca="true">MAX(0,$E$6+$F$6*_xlfn.NORM.S.INV(RAND()))</f>
        <v>12.7626114809078</v>
      </c>
      <c r="F16" s="27" t="n">
        <f aca="false">1/(1+EXP(-03_Inputs_Assumptions!$B$14*(E16-03_Inputs_Assumptions!$B$5)))</f>
        <v>0.113111307604667</v>
      </c>
      <c r="G16" s="28" t="n">
        <f aca="false">D16*04_Baseline_PnL!$B$15*F16*04_Baseline_PnL!$B$14</f>
        <v>288200.204272641</v>
      </c>
      <c r="H16" s="28" t="n">
        <f aca="false">D16*03_Inputs_Assumptions!$B$13*01_Macro_Data!$B$97*($G$6-1)+D16*04_Baseline_PnL!$B$15*04_Baseline_PnL!$B$13*03_Inputs_Assumptions!$B$15*($H$6-1)</f>
        <v>1088583.96293812</v>
      </c>
      <c r="I16" s="16" t="n">
        <f aca="false">G16+H16</f>
        <v>1376784.16721076</v>
      </c>
    </row>
    <row r="17" customFormat="false" ht="15" hidden="false" customHeight="true" outlineLevel="0" collapsed="false">
      <c r="A17" s="4" t="s">
        <v>302</v>
      </c>
      <c r="B17" s="4" t="n">
        <v>7</v>
      </c>
      <c r="C17" s="24" t="n">
        <f aca="true">RAND()</f>
        <v>0.85570422029243</v>
      </c>
      <c r="D17" s="25" t="n">
        <f aca="false">IF(C17&lt;(($C$6-$B$6)/($D$6-$B$6)),$B$6+SQRT(C17*($D$6-$B$6)*($C$6-$B$6)),$D$6-SQRT((1-C17)*($D$6-$B$6)*($D$6-$C$6)))</f>
        <v>15.1950728670238</v>
      </c>
      <c r="E17" s="26" t="n">
        <f aca="true">MAX(0,$E$6+$F$6*_xlfn.NORM.S.INV(RAND()))</f>
        <v>11.4823861235832</v>
      </c>
      <c r="F17" s="27" t="n">
        <f aca="false">1/(1+EXP(-03_Inputs_Assumptions!$B$14*(E17-03_Inputs_Assumptions!$B$5)))</f>
        <v>0.0847568290258745</v>
      </c>
      <c r="G17" s="28" t="n">
        <f aca="false">D17*04_Baseline_PnL!$B$15*F17*04_Baseline_PnL!$B$14</f>
        <v>368270.531462996</v>
      </c>
      <c r="H17" s="28" t="n">
        <f aca="false">D17*03_Inputs_Assumptions!$B$13*01_Macro_Data!$B$97*($G$6-1)+D17*04_Baseline_PnL!$B$15*04_Baseline_PnL!$B$13*03_Inputs_Assumptions!$B$15*($H$6-1)</f>
        <v>1856375.97413515</v>
      </c>
      <c r="I17" s="16" t="n">
        <f aca="false">G17+H17</f>
        <v>2224646.50559814</v>
      </c>
    </row>
    <row r="18" customFormat="false" ht="15" hidden="false" customHeight="true" outlineLevel="0" collapsed="false">
      <c r="A18" s="4" t="s">
        <v>302</v>
      </c>
      <c r="B18" s="4" t="n">
        <v>8</v>
      </c>
      <c r="C18" s="24" t="n">
        <f aca="true">RAND()</f>
        <v>0.650276525708666</v>
      </c>
      <c r="D18" s="25" t="n">
        <f aca="false">IF(C18&lt;(($C$6-$B$6)/($D$6-$B$6)),$B$6+SQRT(C18*($D$6-$B$6)*($C$6-$B$6)),$D$6-SQRT((1-C18)*($D$6-$B$6)*($D$6-$C$6)))</f>
        <v>12.5196419947563</v>
      </c>
      <c r="E18" s="26" t="n">
        <f aca="true">MAX(0,$E$6+$F$6*_xlfn.NORM.S.INV(RAND()))</f>
        <v>15.992126617673</v>
      </c>
      <c r="F18" s="27" t="n">
        <f aca="false">1/(1+EXP(-03_Inputs_Assumptions!$B$14*(E18-03_Inputs_Assumptions!$B$5)))</f>
        <v>0.222359594769026</v>
      </c>
      <c r="G18" s="28" t="n">
        <f aca="false">D18*04_Baseline_PnL!$B$15*F18*04_Baseline_PnL!$B$14</f>
        <v>796044.352005282</v>
      </c>
      <c r="H18" s="28" t="n">
        <f aca="false">D18*03_Inputs_Assumptions!$B$13*01_Macro_Data!$B$97*($G$6-1)+D18*04_Baseline_PnL!$B$15*04_Baseline_PnL!$B$13*03_Inputs_Assumptions!$B$15*($H$6-1)</f>
        <v>1529519.65464258</v>
      </c>
      <c r="I18" s="16" t="n">
        <f aca="false">G18+H18</f>
        <v>2325564.00664786</v>
      </c>
    </row>
    <row r="19" customFormat="false" ht="15" hidden="false" customHeight="true" outlineLevel="0" collapsed="false">
      <c r="A19" s="4" t="s">
        <v>302</v>
      </c>
      <c r="B19" s="4" t="n">
        <v>9</v>
      </c>
      <c r="C19" s="24" t="n">
        <f aca="true">RAND()</f>
        <v>0.71533239087408</v>
      </c>
      <c r="D19" s="25" t="n">
        <f aca="false">IF(C19&lt;(($C$6-$B$6)/($D$6-$B$6)),$B$6+SQRT(C19*($D$6-$B$6)*($C$6-$B$6)),$D$6-SQRT((1-C19)*($D$6-$B$6)*($D$6-$C$6)))</f>
        <v>13.2511617695971</v>
      </c>
      <c r="E19" s="26" t="n">
        <f aca="true">MAX(0,$E$6+$F$6*_xlfn.NORM.S.INV(RAND()))</f>
        <v>12.9783511303381</v>
      </c>
      <c r="F19" s="27" t="n">
        <f aca="false">1/(1+EXP(-03_Inputs_Assumptions!$B$14*(E19-03_Inputs_Assumptions!$B$5)))</f>
        <v>0.118635844018067</v>
      </c>
      <c r="G19" s="28" t="n">
        <f aca="false">D19*04_Baseline_PnL!$B$15*F19*04_Baseline_PnL!$B$14</f>
        <v>449530.705066833</v>
      </c>
      <c r="H19" s="28" t="n">
        <f aca="false">D19*03_Inputs_Assumptions!$B$13*01_Macro_Data!$B$97*($G$6-1)+D19*04_Baseline_PnL!$B$15*04_Baseline_PnL!$B$13*03_Inputs_Assumptions!$B$15*($H$6-1)</f>
        <v>1618889.13292697</v>
      </c>
      <c r="I19" s="16" t="n">
        <f aca="false">G19+H19</f>
        <v>2068419.83799381</v>
      </c>
    </row>
    <row r="20" customFormat="false" ht="15" hidden="false" customHeight="true" outlineLevel="0" collapsed="false">
      <c r="A20" s="4" t="s">
        <v>302</v>
      </c>
      <c r="B20" s="4" t="n">
        <v>10</v>
      </c>
      <c r="C20" s="24" t="n">
        <f aca="true">RAND()</f>
        <v>0.0651143078249005</v>
      </c>
      <c r="D20" s="25" t="n">
        <f aca="false">IF(C20&lt;(($C$6-$B$6)/($D$6-$B$6)),$B$6+SQRT(C20*($D$6-$B$6)*($C$6-$B$6)),$D$6-SQRT((1-C20)*($D$6-$B$6)*($D$6-$C$6)))</f>
        <v>6.50019470265626</v>
      </c>
      <c r="E20" s="26" t="n">
        <f aca="true">MAX(0,$E$6+$F$6*_xlfn.NORM.S.INV(RAND()))</f>
        <v>12.450041513734</v>
      </c>
      <c r="F20" s="27" t="n">
        <f aca="false">1/(1+EXP(-03_Inputs_Assumptions!$B$14*(E20-03_Inputs_Assumptions!$B$5)))</f>
        <v>0.10550607081533</v>
      </c>
      <c r="G20" s="28" t="n">
        <f aca="false">D20*04_Baseline_PnL!$B$15*F20*04_Baseline_PnL!$B$14</f>
        <v>196107.090449576</v>
      </c>
      <c r="H20" s="28" t="n">
        <f aca="false">D20*03_Inputs_Assumptions!$B$13*01_Macro_Data!$B$97*($G$6-1)+D20*04_Baseline_PnL!$B$15*04_Baseline_PnL!$B$13*03_Inputs_Assumptions!$B$15*($H$6-1)</f>
        <v>794126.186745635</v>
      </c>
      <c r="I20" s="16" t="n">
        <f aca="false">G20+H20</f>
        <v>990233.277195211</v>
      </c>
    </row>
    <row r="21" customFormat="false" ht="15" hidden="false" customHeight="true" outlineLevel="0" collapsed="false">
      <c r="A21" s="4" t="s">
        <v>302</v>
      </c>
      <c r="B21" s="4" t="n">
        <v>11</v>
      </c>
      <c r="C21" s="24" t="n">
        <f aca="true">RAND()</f>
        <v>0.423213846847921</v>
      </c>
      <c r="D21" s="25" t="n">
        <f aca="false">IF(C21&lt;(($C$6-$B$6)/($D$6-$B$6)),$B$6+SQRT(C21*($D$6-$B$6)*($C$6-$B$6)),$D$6-SQRT((1-C21)*($D$6-$B$6)*($D$6-$C$6)))</f>
        <v>10.3934509575846</v>
      </c>
      <c r="E21" s="26" t="n">
        <f aca="true">MAX(0,$E$6+$F$6*_xlfn.NORM.S.INV(RAND()))</f>
        <v>19.4223327444095</v>
      </c>
      <c r="F21" s="27" t="n">
        <f aca="false">1/(1+EXP(-03_Inputs_Assumptions!$B$14*(E21-03_Inputs_Assumptions!$B$5)))</f>
        <v>0.402654496374562</v>
      </c>
      <c r="G21" s="28" t="n">
        <f aca="false">D21*04_Baseline_PnL!$B$15*F21*04_Baseline_PnL!$B$14</f>
        <v>1196690.39574787</v>
      </c>
      <c r="H21" s="28" t="n">
        <f aca="false">D21*03_Inputs_Assumptions!$B$13*01_Macro_Data!$B$97*($G$6-1)+D21*04_Baseline_PnL!$B$15*04_Baseline_PnL!$B$13*03_Inputs_Assumptions!$B$15*($H$6-1)</f>
        <v>1269763.74610773</v>
      </c>
      <c r="I21" s="16" t="n">
        <f aca="false">G21+H21</f>
        <v>2466454.1418556</v>
      </c>
    </row>
    <row r="22" customFormat="false" ht="15" hidden="false" customHeight="true" outlineLevel="0" collapsed="false">
      <c r="A22" s="4" t="s">
        <v>302</v>
      </c>
      <c r="B22" s="4" t="n">
        <v>12</v>
      </c>
      <c r="C22" s="24" t="n">
        <f aca="true">RAND()</f>
        <v>0.540514228016782</v>
      </c>
      <c r="D22" s="25" t="n">
        <f aca="false">IF(C22&lt;(($C$6-$B$6)/($D$6-$B$6)),$B$6+SQRT(C22*($D$6-$B$6)*($C$6-$B$6)),$D$6-SQRT((1-C22)*($D$6-$B$6)*($D$6-$C$6)))</f>
        <v>11.4257523060437</v>
      </c>
      <c r="E22" s="26" t="n">
        <f aca="true">MAX(0,$E$6+$F$6*_xlfn.NORM.S.INV(RAND()))</f>
        <v>14.7022490881938</v>
      </c>
      <c r="F22" s="27" t="n">
        <f aca="false">1/(1+EXP(-03_Inputs_Assumptions!$B$14*(E22-03_Inputs_Assumptions!$B$5)))</f>
        <v>0.171584678465017</v>
      </c>
      <c r="G22" s="28" t="n">
        <f aca="false">D22*04_Baseline_PnL!$B$15*F22*04_Baseline_PnL!$B$14</f>
        <v>560599.610155314</v>
      </c>
      <c r="H22" s="28" t="n">
        <f aca="false">D22*03_Inputs_Assumptions!$B$13*01_Macro_Data!$B$97*($G$6-1)+D22*04_Baseline_PnL!$B$15*04_Baseline_PnL!$B$13*03_Inputs_Assumptions!$B$15*($H$6-1)</f>
        <v>1395879.58892844</v>
      </c>
      <c r="I22" s="16" t="n">
        <f aca="false">G22+H22</f>
        <v>1956479.19908375</v>
      </c>
    </row>
    <row r="23" customFormat="false" ht="15" hidden="false" customHeight="true" outlineLevel="0" collapsed="false">
      <c r="A23" s="4" t="s">
        <v>302</v>
      </c>
      <c r="B23" s="4" t="n">
        <v>13</v>
      </c>
      <c r="C23" s="24" t="n">
        <f aca="true">RAND()</f>
        <v>0.636944500268443</v>
      </c>
      <c r="D23" s="25" t="n">
        <f aca="false">IF(C23&lt;(($C$6-$B$6)/($D$6-$B$6)),$B$6+SQRT(C23*($D$6-$B$6)*($C$6-$B$6)),$D$6-SQRT((1-C23)*($D$6-$B$6)*($D$6-$C$6)))</f>
        <v>12.3783938728737</v>
      </c>
      <c r="E23" s="26" t="n">
        <f aca="true">MAX(0,$E$6+$F$6*_xlfn.NORM.S.INV(RAND()))</f>
        <v>4.90778595863143</v>
      </c>
      <c r="F23" s="27" t="n">
        <f aca="false">1/(1+EXP(-03_Inputs_Assumptions!$B$14*(E23-03_Inputs_Assumptions!$B$5)))</f>
        <v>0.0175835152047972</v>
      </c>
      <c r="G23" s="28" t="n">
        <f aca="false">D23*04_Baseline_PnL!$B$15*F23*04_Baseline_PnL!$B$14</f>
        <v>62238.5520029737</v>
      </c>
      <c r="H23" s="28" t="n">
        <f aca="false">D23*03_Inputs_Assumptions!$B$13*01_Macro_Data!$B$97*($G$6-1)+D23*04_Baseline_PnL!$B$15*04_Baseline_PnL!$B$13*03_Inputs_Assumptions!$B$15*($H$6-1)</f>
        <v>1512263.42809143</v>
      </c>
      <c r="I23" s="16" t="n">
        <f aca="false">G23+H23</f>
        <v>1574501.9800944</v>
      </c>
    </row>
    <row r="24" customFormat="false" ht="15" hidden="false" customHeight="true" outlineLevel="0" collapsed="false">
      <c r="A24" s="4" t="s">
        <v>302</v>
      </c>
      <c r="B24" s="4" t="n">
        <v>14</v>
      </c>
      <c r="C24" s="24" t="n">
        <f aca="true">RAND()</f>
        <v>0.192045148187136</v>
      </c>
      <c r="D24" s="25" t="n">
        <f aca="false">IF(C24&lt;(($C$6-$B$6)/($D$6-$B$6)),$B$6+SQRT(C24*($D$6-$B$6)*($C$6-$B$6)),$D$6-SQRT((1-C24)*($D$6-$B$6)*($D$6-$C$6)))</f>
        <v>8.29375525920669</v>
      </c>
      <c r="E24" s="26" t="n">
        <f aca="true">MAX(0,$E$6+$F$6*_xlfn.NORM.S.INV(RAND()))</f>
        <v>5.40311318779623</v>
      </c>
      <c r="F24" s="27" t="n">
        <f aca="false">1/(1+EXP(-03_Inputs_Assumptions!$B$14*(E24-03_Inputs_Assumptions!$B$5)))</f>
        <v>0.0198554466739614</v>
      </c>
      <c r="G24" s="28" t="n">
        <f aca="false">D24*04_Baseline_PnL!$B$15*F24*04_Baseline_PnL!$B$14</f>
        <v>47089.096573462</v>
      </c>
      <c r="H24" s="28" t="n">
        <f aca="false">D24*03_Inputs_Assumptions!$B$13*01_Macro_Data!$B$97*($G$6-1)+D24*04_Baseline_PnL!$B$15*04_Baseline_PnL!$B$13*03_Inputs_Assumptions!$B$15*($H$6-1)</f>
        <v>1013244.76251518</v>
      </c>
      <c r="I24" s="16" t="n">
        <f aca="false">G24+H24</f>
        <v>1060333.85908864</v>
      </c>
    </row>
    <row r="25" customFormat="false" ht="15" hidden="false" customHeight="true" outlineLevel="0" collapsed="false">
      <c r="A25" s="4" t="s">
        <v>302</v>
      </c>
      <c r="B25" s="4" t="n">
        <v>15</v>
      </c>
      <c r="C25" s="24" t="n">
        <f aca="true">RAND()</f>
        <v>0.416975944490509</v>
      </c>
      <c r="D25" s="25" t="n">
        <f aca="false">IF(C25&lt;(($C$6-$B$6)/($D$6-$B$6)),$B$6+SQRT(C25*($D$6-$B$6)*($C$6-$B$6)),$D$6-SQRT((1-C25)*($D$6-$B$6)*($D$6-$C$6)))</f>
        <v>10.341643572454</v>
      </c>
      <c r="E25" s="26" t="n">
        <f aca="true">MAX(0,$E$6+$F$6*_xlfn.NORM.S.INV(RAND()))</f>
        <v>16.6815841527623</v>
      </c>
      <c r="F25" s="27" t="n">
        <f aca="false">1/(1+EXP(-03_Inputs_Assumptions!$B$14*(E25-03_Inputs_Assumptions!$B$5)))</f>
        <v>0.253580970529248</v>
      </c>
      <c r="G25" s="28" t="n">
        <f aca="false">D25*04_Baseline_PnL!$B$15*F25*04_Baseline_PnL!$B$14</f>
        <v>749886.795888125</v>
      </c>
      <c r="H25" s="28" t="n">
        <f aca="false">D25*03_Inputs_Assumptions!$B$13*01_Macro_Data!$B$97*($G$6-1)+D25*04_Baseline_PnL!$B$15*04_Baseline_PnL!$B$13*03_Inputs_Assumptions!$B$15*($H$6-1)</f>
        <v>1263434.45858928</v>
      </c>
      <c r="I25" s="16" t="n">
        <f aca="false">G25+H25</f>
        <v>2013321.2544774</v>
      </c>
    </row>
    <row r="26" customFormat="false" ht="15" hidden="false" customHeight="true" outlineLevel="0" collapsed="false">
      <c r="A26" s="4" t="s">
        <v>302</v>
      </c>
      <c r="B26" s="4" t="n">
        <v>16</v>
      </c>
      <c r="C26" s="24" t="n">
        <f aca="true">RAND()</f>
        <v>0.00690803853456741</v>
      </c>
      <c r="D26" s="25" t="n">
        <f aca="false">IF(C26&lt;(($C$6-$B$6)/($D$6-$B$6)),$B$6+SQRT(C26*($D$6-$B$6)*($C$6-$B$6)),$D$6-SQRT((1-C26)*($D$6-$B$6)*($D$6-$C$6)))</f>
        <v>4.8143535468815</v>
      </c>
      <c r="E26" s="26" t="n">
        <f aca="true">MAX(0,$E$6+$F$6*_xlfn.NORM.S.INV(RAND()))</f>
        <v>13.4811827186794</v>
      </c>
      <c r="F26" s="27" t="n">
        <f aca="false">1/(1+EXP(-03_Inputs_Assumptions!$B$14*(E26-03_Inputs_Assumptions!$B$5)))</f>
        <v>0.132422839609657</v>
      </c>
      <c r="G26" s="28" t="n">
        <f aca="false">D26*04_Baseline_PnL!$B$15*F26*04_Baseline_PnL!$B$14</f>
        <v>182301.548504473</v>
      </c>
      <c r="H26" s="28" t="n">
        <f aca="false">D26*03_Inputs_Assumptions!$B$13*01_Macro_Data!$B$97*($G$6-1)+D26*04_Baseline_PnL!$B$15*04_Baseline_PnL!$B$13*03_Inputs_Assumptions!$B$15*($H$6-1)</f>
        <v>588167.647081094</v>
      </c>
      <c r="I26" s="16" t="n">
        <f aca="false">G26+H26</f>
        <v>770469.195585567</v>
      </c>
    </row>
    <row r="27" customFormat="false" ht="15" hidden="false" customHeight="true" outlineLevel="0" collapsed="false">
      <c r="A27" s="4" t="s">
        <v>302</v>
      </c>
      <c r="B27" s="4" t="n">
        <v>17</v>
      </c>
      <c r="C27" s="24" t="n">
        <f aca="true">RAND()</f>
        <v>0.544259951459825</v>
      </c>
      <c r="D27" s="25" t="n">
        <f aca="false">IF(C27&lt;(($C$6-$B$6)/($D$6-$B$6)),$B$6+SQRT(C27*($D$6-$B$6)*($C$6-$B$6)),$D$6-SQRT((1-C27)*($D$6-$B$6)*($D$6-$C$6)))</f>
        <v>11.4607724139459</v>
      </c>
      <c r="E27" s="26" t="n">
        <f aca="true">MAX(0,$E$6+$F$6*_xlfn.NORM.S.INV(RAND()))</f>
        <v>6.00110926132277</v>
      </c>
      <c r="F27" s="27" t="n">
        <f aca="false">1/(1+EXP(-03_Inputs_Assumptions!$B$14*(E27-03_Inputs_Assumptions!$B$5)))</f>
        <v>0.0229835962993119</v>
      </c>
      <c r="G27" s="28" t="n">
        <f aca="false">D27*04_Baseline_PnL!$B$15*F27*04_Baseline_PnL!$B$14</f>
        <v>75321.9152475194</v>
      </c>
      <c r="H27" s="28" t="n">
        <f aca="false">D27*03_Inputs_Assumptions!$B$13*01_Macro_Data!$B$97*($G$6-1)+D27*04_Baseline_PnL!$B$15*04_Baseline_PnL!$B$13*03_Inputs_Assumptions!$B$15*($H$6-1)</f>
        <v>1400157.9815028</v>
      </c>
      <c r="I27" s="16" t="n">
        <f aca="false">G27+H27</f>
        <v>1475479.89675032</v>
      </c>
    </row>
    <row r="28" customFormat="false" ht="15" hidden="false" customHeight="true" outlineLevel="0" collapsed="false">
      <c r="A28" s="4" t="s">
        <v>302</v>
      </c>
      <c r="B28" s="4" t="n">
        <v>18</v>
      </c>
      <c r="C28" s="24" t="n">
        <f aca="true">RAND()</f>
        <v>0.69476456683527</v>
      </c>
      <c r="D28" s="25" t="n">
        <f aca="false">IF(C28&lt;(($C$6-$B$6)/($D$6-$B$6)),$B$6+SQRT(C28*($D$6-$B$6)*($C$6-$B$6)),$D$6-SQRT((1-C28)*($D$6-$B$6)*($D$6-$C$6)))</f>
        <v>13.0116046687128</v>
      </c>
      <c r="E28" s="26" t="n">
        <f aca="true">MAX(0,$E$6+$F$6*_xlfn.NORM.S.INV(RAND()))</f>
        <v>16.9746863183227</v>
      </c>
      <c r="F28" s="27" t="n">
        <f aca="false">1/(1+EXP(-03_Inputs_Assumptions!$B$14*(E28-03_Inputs_Assumptions!$B$5)))</f>
        <v>0.267698999257579</v>
      </c>
      <c r="G28" s="28" t="n">
        <f aca="false">D28*04_Baseline_PnL!$B$15*F28*04_Baseline_PnL!$B$14</f>
        <v>996017.774131792</v>
      </c>
      <c r="H28" s="28" t="n">
        <f aca="false">D28*03_Inputs_Assumptions!$B$13*01_Macro_Data!$B$97*($G$6-1)+D28*04_Baseline_PnL!$B$15*04_Baseline_PnL!$B$13*03_Inputs_Assumptions!$B$15*($H$6-1)</f>
        <v>1589622.53773477</v>
      </c>
      <c r="I28" s="16" t="n">
        <f aca="false">G28+H28</f>
        <v>2585640.31186657</v>
      </c>
    </row>
    <row r="29" customFormat="false" ht="15" hidden="false" customHeight="true" outlineLevel="0" collapsed="false">
      <c r="A29" s="4" t="s">
        <v>302</v>
      </c>
      <c r="B29" s="4" t="n">
        <v>19</v>
      </c>
      <c r="C29" s="24" t="n">
        <f aca="true">RAND()</f>
        <v>0.54317559333051</v>
      </c>
      <c r="D29" s="25" t="n">
        <f aca="false">IF(C29&lt;(($C$6-$B$6)/($D$6-$B$6)),$B$6+SQRT(C29*($D$6-$B$6)*($C$6-$B$6)),$D$6-SQRT((1-C29)*($D$6-$B$6)*($D$6-$C$6)))</f>
        <v>11.4506196091694</v>
      </c>
      <c r="E29" s="26" t="n">
        <f aca="true">MAX(0,$E$6+$F$6*_xlfn.NORM.S.INV(RAND()))</f>
        <v>16.0378628754938</v>
      </c>
      <c r="F29" s="27" t="n">
        <f aca="false">1/(1+EXP(-03_Inputs_Assumptions!$B$14*(E29-03_Inputs_Assumptions!$B$5)))</f>
        <v>0.224343000060012</v>
      </c>
      <c r="G29" s="28" t="n">
        <f aca="false">D29*04_Baseline_PnL!$B$15*F29*04_Baseline_PnL!$B$14</f>
        <v>734566.286354928</v>
      </c>
      <c r="H29" s="28" t="n">
        <f aca="false">D29*03_Inputs_Assumptions!$B$13*01_Macro_Data!$B$97*($G$6-1)+D29*04_Baseline_PnL!$B$15*04_Baseline_PnL!$B$13*03_Inputs_Assumptions!$B$15*($H$6-1)</f>
        <v>1398917.61740439</v>
      </c>
      <c r="I29" s="16" t="n">
        <f aca="false">G29+H29</f>
        <v>2133483.90375931</v>
      </c>
    </row>
    <row r="30" customFormat="false" ht="15" hidden="false" customHeight="true" outlineLevel="0" collapsed="false">
      <c r="A30" s="4" t="s">
        <v>302</v>
      </c>
      <c r="B30" s="4" t="n">
        <v>20</v>
      </c>
      <c r="C30" s="24" t="n">
        <f aca="true">RAND()</f>
        <v>0.554814765366789</v>
      </c>
      <c r="D30" s="25" t="n">
        <f aca="false">IF(C30&lt;(($C$6-$B$6)/($D$6-$B$6)),$B$6+SQRT(C30*($D$6-$B$6)*($C$6-$B$6)),$D$6-SQRT((1-C30)*($D$6-$B$6)*($D$6-$C$6)))</f>
        <v>11.5602347460777</v>
      </c>
      <c r="E30" s="26" t="n">
        <f aca="true">MAX(0,$E$6+$F$6*_xlfn.NORM.S.INV(RAND()))</f>
        <v>8.31601456813626</v>
      </c>
      <c r="F30" s="27" t="n">
        <f aca="false">1/(1+EXP(-03_Inputs_Assumptions!$B$14*(E30-03_Inputs_Assumptions!$B$5)))</f>
        <v>0.0402718884798549</v>
      </c>
      <c r="G30" s="28" t="n">
        <f aca="false">D30*04_Baseline_PnL!$B$15*F30*04_Baseline_PnL!$B$14</f>
        <v>133124.54300488</v>
      </c>
      <c r="H30" s="28" t="n">
        <f aca="false">D30*03_Inputs_Assumptions!$B$13*01_Macro_Data!$B$97*($G$6-1)+D30*04_Baseline_PnL!$B$15*04_Baseline_PnL!$B$13*03_Inputs_Assumptions!$B$15*($H$6-1)</f>
        <v>1412309.25483442</v>
      </c>
      <c r="I30" s="16" t="n">
        <f aca="false">G30+H30</f>
        <v>1545433.7978393</v>
      </c>
    </row>
    <row r="31" customFormat="false" ht="15" hidden="false" customHeight="true" outlineLevel="0" collapsed="false">
      <c r="A31" s="4" t="s">
        <v>302</v>
      </c>
      <c r="B31" s="4" t="n">
        <v>21</v>
      </c>
      <c r="C31" s="24" t="n">
        <f aca="true">RAND()</f>
        <v>0.140024499880227</v>
      </c>
      <c r="D31" s="25" t="n">
        <f aca="false">IF(C31&lt;(($C$6-$B$6)/($D$6-$B$6)),$B$6+SQRT(C31*($D$6-$B$6)*($C$6-$B$6)),$D$6-SQRT((1-C31)*($D$6-$B$6)*($D$6-$C$6)))</f>
        <v>7.66638132066235</v>
      </c>
      <c r="E31" s="26" t="n">
        <f aca="true">MAX(0,$E$6+$F$6*_xlfn.NORM.S.INV(RAND()))</f>
        <v>3.22135738985408</v>
      </c>
      <c r="F31" s="27" t="n">
        <f aca="false">1/(1+EXP(-03_Inputs_Assumptions!$B$14*(E31-03_Inputs_Assumptions!$B$5)))</f>
        <v>0.0116048362411397</v>
      </c>
      <c r="G31" s="28" t="n">
        <f aca="false">D31*04_Baseline_PnL!$B$15*F31*04_Baseline_PnL!$B$14</f>
        <v>25440.1058876326</v>
      </c>
      <c r="H31" s="28" t="n">
        <f aca="false">D31*03_Inputs_Assumptions!$B$13*01_Macro_Data!$B$97*($G$6-1)+D31*04_Baseline_PnL!$B$15*04_Baseline_PnL!$B$13*03_Inputs_Assumptions!$B$15*($H$6-1)</f>
        <v>936598.739392791</v>
      </c>
      <c r="I31" s="16" t="n">
        <f aca="false">G31+H31</f>
        <v>962038.845280424</v>
      </c>
    </row>
    <row r="32" customFormat="false" ht="15" hidden="false" customHeight="true" outlineLevel="0" collapsed="false">
      <c r="A32" s="4" t="s">
        <v>302</v>
      </c>
      <c r="B32" s="4" t="n">
        <v>22</v>
      </c>
      <c r="C32" s="24" t="n">
        <f aca="true">RAND()</f>
        <v>0.128969738860275</v>
      </c>
      <c r="D32" s="25" t="n">
        <f aca="false">IF(C32&lt;(($C$6-$B$6)/($D$6-$B$6)),$B$6+SQRT(C32*($D$6-$B$6)*($C$6-$B$6)),$D$6-SQRT((1-C32)*($D$6-$B$6)*($D$6-$C$6)))</f>
        <v>7.51867800893836</v>
      </c>
      <c r="E32" s="26" t="n">
        <f aca="true">MAX(0,$E$6+$F$6*_xlfn.NORM.S.INV(RAND()))</f>
        <v>12.6541197584166</v>
      </c>
      <c r="F32" s="27" t="n">
        <f aca="false">1/(1+EXP(-03_Inputs_Assumptions!$B$14*(E32-03_Inputs_Assumptions!$B$5)))</f>
        <v>0.110418831489771</v>
      </c>
      <c r="G32" s="28" t="n">
        <f aca="false">D32*04_Baseline_PnL!$B$15*F32*04_Baseline_PnL!$B$14</f>
        <v>237396.392177992</v>
      </c>
      <c r="H32" s="28" t="n">
        <f aca="false">D32*03_Inputs_Assumptions!$B$13*01_Macro_Data!$B$97*($G$6-1)+D32*04_Baseline_PnL!$B$15*04_Baseline_PnL!$B$13*03_Inputs_Assumptions!$B$15*($H$6-1)</f>
        <v>918553.884880796</v>
      </c>
      <c r="I32" s="16" t="n">
        <f aca="false">G32+H32</f>
        <v>1155950.27705879</v>
      </c>
    </row>
    <row r="33" customFormat="false" ht="15" hidden="false" customHeight="true" outlineLevel="0" collapsed="false">
      <c r="A33" s="4" t="s">
        <v>302</v>
      </c>
      <c r="B33" s="4" t="n">
        <v>23</v>
      </c>
      <c r="C33" s="24" t="n">
        <f aca="true">RAND()</f>
        <v>0.0208268276222333</v>
      </c>
      <c r="D33" s="25" t="n">
        <f aca="false">IF(C33&lt;(($C$6-$B$6)/($D$6-$B$6)),$B$6+SQRT(C33*($D$6-$B$6)*($C$6-$B$6)),$D$6-SQRT((1-C33)*($D$6-$B$6)*($D$6-$C$6)))</f>
        <v>5.41399273397511</v>
      </c>
      <c r="E33" s="26" t="n">
        <f aca="true">MAX(0,$E$6+$F$6*_xlfn.NORM.S.INV(RAND()))</f>
        <v>8.9688305956334</v>
      </c>
      <c r="F33" s="27" t="n">
        <f aca="false">1/(1+EXP(-03_Inputs_Assumptions!$B$14*(E33-03_Inputs_Assumptions!$B$5)))</f>
        <v>0.0470750796729886</v>
      </c>
      <c r="G33" s="28" t="n">
        <f aca="false">D33*04_Baseline_PnL!$B$15*F33*04_Baseline_PnL!$B$14</f>
        <v>72878.2966534132</v>
      </c>
      <c r="H33" s="28" t="n">
        <f aca="false">D33*03_Inputs_Assumptions!$B$13*01_Macro_Data!$B$97*($G$6-1)+D33*04_Baseline_PnL!$B$15*04_Baseline_PnL!$B$13*03_Inputs_Assumptions!$B$15*($H$6-1)</f>
        <v>661425.326712645</v>
      </c>
      <c r="I33" s="16" t="n">
        <f aca="false">G33+H33</f>
        <v>734303.623366058</v>
      </c>
    </row>
    <row r="34" customFormat="false" ht="15" hidden="false" customHeight="true" outlineLevel="0" collapsed="false">
      <c r="A34" s="4" t="s">
        <v>302</v>
      </c>
      <c r="B34" s="4" t="n">
        <v>24</v>
      </c>
      <c r="C34" s="24" t="n">
        <f aca="true">RAND()</f>
        <v>0.26588827004204</v>
      </c>
      <c r="D34" s="25" t="n">
        <f aca="false">IF(C34&lt;(($C$6-$B$6)/($D$6-$B$6)),$B$6+SQRT(C34*($D$6-$B$6)*($C$6-$B$6)),$D$6-SQRT((1-C34)*($D$6-$B$6)*($D$6-$C$6)))</f>
        <v>9.05225434079044</v>
      </c>
      <c r="E34" s="26" t="n">
        <f aca="true">MAX(0,$E$6+$F$6*_xlfn.NORM.S.INV(RAND()))</f>
        <v>5.51790439864723</v>
      </c>
      <c r="F34" s="27" t="n">
        <f aca="false">1/(1+EXP(-03_Inputs_Assumptions!$B$14*(E34-03_Inputs_Assumptions!$B$5)))</f>
        <v>0.020421704233194</v>
      </c>
      <c r="G34" s="28" t="n">
        <f aca="false">D34*04_Baseline_PnL!$B$15*F34*04_Baseline_PnL!$B$14</f>
        <v>52861.3452429345</v>
      </c>
      <c r="H34" s="28" t="n">
        <f aca="false">D34*03_Inputs_Assumptions!$B$13*01_Macro_Data!$B$97*($G$6-1)+D34*04_Baseline_PnL!$B$15*04_Baseline_PnL!$B$13*03_Inputs_Assumptions!$B$15*($H$6-1)</f>
        <v>1105910.29191263</v>
      </c>
      <c r="I34" s="16" t="n">
        <f aca="false">G34+H34</f>
        <v>1158771.63715557</v>
      </c>
    </row>
    <row r="35" customFormat="false" ht="15" hidden="false" customHeight="true" outlineLevel="0" collapsed="false">
      <c r="A35" s="4" t="s">
        <v>302</v>
      </c>
      <c r="B35" s="4" t="n">
        <v>25</v>
      </c>
      <c r="C35" s="24" t="n">
        <f aca="true">RAND()</f>
        <v>0.120959992255766</v>
      </c>
      <c r="D35" s="25" t="n">
        <f aca="false">IF(C35&lt;(($C$6-$B$6)/($D$6-$B$6)),$B$6+SQRT(C35*($D$6-$B$6)*($C$6-$B$6)),$D$6-SQRT((1-C35)*($D$6-$B$6)*($D$6-$C$6)))</f>
        <v>7.40766184598084</v>
      </c>
      <c r="E35" s="26" t="n">
        <f aca="true">MAX(0,$E$6+$F$6*_xlfn.NORM.S.INV(RAND()))</f>
        <v>9.22197869423958</v>
      </c>
      <c r="F35" s="27" t="n">
        <f aca="false">1/(1+EXP(-03_Inputs_Assumptions!$B$14*(E35-03_Inputs_Assumptions!$B$5)))</f>
        <v>0.0499968485985912</v>
      </c>
      <c r="G35" s="28" t="n">
        <f aca="false">D35*04_Baseline_PnL!$B$15*F35*04_Baseline_PnL!$B$14</f>
        <v>105904.218778913</v>
      </c>
      <c r="H35" s="28" t="n">
        <f aca="false">D35*03_Inputs_Assumptions!$B$13*01_Macro_Data!$B$97*($G$6-1)+D35*04_Baseline_PnL!$B$15*04_Baseline_PnL!$B$13*03_Inputs_Assumptions!$B$15*($H$6-1)</f>
        <v>904991.084658741</v>
      </c>
      <c r="I35" s="16" t="n">
        <f aca="false">G35+H35</f>
        <v>1010895.30343765</v>
      </c>
    </row>
    <row r="36" customFormat="false" ht="15" hidden="false" customHeight="true" outlineLevel="0" collapsed="false">
      <c r="A36" s="4" t="s">
        <v>302</v>
      </c>
      <c r="B36" s="4" t="n">
        <v>26</v>
      </c>
      <c r="C36" s="24" t="n">
        <f aca="true">RAND()</f>
        <v>0.0769328279458631</v>
      </c>
      <c r="D36" s="25" t="n">
        <f aca="false">IF(C36&lt;(($C$6-$B$6)/($D$6-$B$6)),$B$6+SQRT(C36*($D$6-$B$6)*($C$6-$B$6)),$D$6-SQRT((1-C36)*($D$6-$B$6)*($D$6-$C$6)))</f>
        <v>6.71763711389193</v>
      </c>
      <c r="E36" s="26" t="n">
        <f aca="true">MAX(0,$E$6+$F$6*_xlfn.NORM.S.INV(RAND()))</f>
        <v>16.3323520461495</v>
      </c>
      <c r="F36" s="27" t="n">
        <f aca="false">1/(1+EXP(-03_Inputs_Assumptions!$B$14*(E36-03_Inputs_Assumptions!$B$5)))</f>
        <v>0.237413610367106</v>
      </c>
      <c r="G36" s="28" t="n">
        <f aca="false">D36*04_Baseline_PnL!$B$15*F36*04_Baseline_PnL!$B$14</f>
        <v>456049.131783107</v>
      </c>
      <c r="H36" s="28" t="n">
        <f aca="false">D36*03_Inputs_Assumptions!$B$13*01_Macro_Data!$B$97*($G$6-1)+D36*04_Baseline_PnL!$B$15*04_Baseline_PnL!$B$13*03_Inputs_Assumptions!$B$15*($H$6-1)</f>
        <v>820691.039149332</v>
      </c>
      <c r="I36" s="16" t="n">
        <f aca="false">G36+H36</f>
        <v>1276740.17093244</v>
      </c>
    </row>
    <row r="37" customFormat="false" ht="15" hidden="false" customHeight="true" outlineLevel="0" collapsed="false">
      <c r="A37" s="4" t="s">
        <v>302</v>
      </c>
      <c r="B37" s="4" t="n">
        <v>27</v>
      </c>
      <c r="C37" s="24" t="n">
        <f aca="true">RAND()</f>
        <v>0.215006985965186</v>
      </c>
      <c r="D37" s="25" t="n">
        <f aca="false">IF(C37&lt;(($C$6-$B$6)/($D$6-$B$6)),$B$6+SQRT(C37*($D$6-$B$6)*($C$6-$B$6)),$D$6-SQRT((1-C37)*($D$6-$B$6)*($D$6-$C$6)))</f>
        <v>8.54320048563321</v>
      </c>
      <c r="E37" s="26" t="n">
        <f aca="true">MAX(0,$E$6+$F$6*_xlfn.NORM.S.INV(RAND()))</f>
        <v>14.3502814218477</v>
      </c>
      <c r="F37" s="27" t="n">
        <f aca="false">1/(1+EXP(-03_Inputs_Assumptions!$B$14*(E37-03_Inputs_Assumptions!$B$5)))</f>
        <v>0.159436115626617</v>
      </c>
      <c r="G37" s="28" t="n">
        <f aca="false">D37*04_Baseline_PnL!$B$15*F37*04_Baseline_PnL!$B$14</f>
        <v>389490.423884886</v>
      </c>
      <c r="H37" s="28" t="n">
        <f aca="false">D37*03_Inputs_Assumptions!$B$13*01_Macro_Data!$B$97*($G$6-1)+D37*04_Baseline_PnL!$B$15*04_Baseline_PnL!$B$13*03_Inputs_Assumptions!$B$15*($H$6-1)</f>
        <v>1043719.38604962</v>
      </c>
      <c r="I37" s="16" t="n">
        <f aca="false">G37+H37</f>
        <v>1433209.8099345</v>
      </c>
    </row>
    <row r="38" customFormat="false" ht="15" hidden="false" customHeight="true" outlineLevel="0" collapsed="false">
      <c r="A38" s="4" t="s">
        <v>302</v>
      </c>
      <c r="B38" s="4" t="n">
        <v>28</v>
      </c>
      <c r="C38" s="24" t="n">
        <f aca="true">RAND()</f>
        <v>0.0628000685567259</v>
      </c>
      <c r="D38" s="25" t="n">
        <f aca="false">IF(C38&lt;(($C$6-$B$6)/($D$6-$B$6)),$B$6+SQRT(C38*($D$6-$B$6)*($C$6-$B$6)),$D$6-SQRT((1-C38)*($D$6-$B$6)*($D$6-$C$6)))</f>
        <v>6.45536282073458</v>
      </c>
      <c r="E38" s="26" t="n">
        <f aca="true">MAX(0,$E$6+$F$6*_xlfn.NORM.S.INV(RAND()))</f>
        <v>10.794854871929</v>
      </c>
      <c r="F38" s="27" t="n">
        <f aca="false">1/(1+EXP(-03_Inputs_Assumptions!$B$14*(E38-03_Inputs_Assumptions!$B$5)))</f>
        <v>0.0723401193028376</v>
      </c>
      <c r="G38" s="28" t="n">
        <f aca="false">D38*04_Baseline_PnL!$B$15*F38*04_Baseline_PnL!$B$14</f>
        <v>133533.231340792</v>
      </c>
      <c r="H38" s="28" t="n">
        <f aca="false">D38*03_Inputs_Assumptions!$B$13*01_Macro_Data!$B$97*($G$6-1)+D38*04_Baseline_PnL!$B$15*04_Baseline_PnL!$B$13*03_Inputs_Assumptions!$B$15*($H$6-1)</f>
        <v>788649.093664016</v>
      </c>
      <c r="I38" s="16" t="n">
        <f aca="false">G38+H38</f>
        <v>922182.325004808</v>
      </c>
    </row>
    <row r="39" customFormat="false" ht="15" hidden="false" customHeight="true" outlineLevel="0" collapsed="false">
      <c r="A39" s="4" t="s">
        <v>302</v>
      </c>
      <c r="B39" s="4" t="n">
        <v>29</v>
      </c>
      <c r="C39" s="24" t="n">
        <f aca="true">RAND()</f>
        <v>0.873888848096176</v>
      </c>
      <c r="D39" s="25" t="n">
        <f aca="false">IF(C39&lt;(($C$6-$B$6)/($D$6-$B$6)),$B$6+SQRT(C39*($D$6-$B$6)*($C$6-$B$6)),$D$6-SQRT((1-C39)*($D$6-$B$6)*($D$6-$C$6)))</f>
        <v>15.5080311327201</v>
      </c>
      <c r="E39" s="26" t="n">
        <f aca="true">MAX(0,$E$6+$F$6*_xlfn.NORM.S.INV(RAND()))</f>
        <v>15.7937609792036</v>
      </c>
      <c r="F39" s="27" t="n">
        <f aca="false">1/(1+EXP(-03_Inputs_Assumptions!$B$14*(E39-03_Inputs_Assumptions!$B$5)))</f>
        <v>0.213902629745548</v>
      </c>
      <c r="G39" s="28" t="n">
        <f aca="false">D39*04_Baseline_PnL!$B$15*F39*04_Baseline_PnL!$B$14</f>
        <v>948554.457669488</v>
      </c>
      <c r="H39" s="28" t="n">
        <f aca="false">D39*03_Inputs_Assumptions!$B$13*01_Macro_Data!$B$97*($G$6-1)+D39*04_Baseline_PnL!$B$15*04_Baseline_PnL!$B$13*03_Inputs_Assumptions!$B$15*($H$6-1)</f>
        <v>1894609.96027196</v>
      </c>
      <c r="I39" s="16" t="n">
        <f aca="false">G39+H39</f>
        <v>2843164.41794145</v>
      </c>
    </row>
    <row r="40" customFormat="false" ht="15" hidden="false" customHeight="true" outlineLevel="0" collapsed="false">
      <c r="A40" s="4" t="s">
        <v>302</v>
      </c>
      <c r="B40" s="4" t="n">
        <v>30</v>
      </c>
      <c r="C40" s="24" t="n">
        <f aca="true">RAND()</f>
        <v>0.339405406922594</v>
      </c>
      <c r="D40" s="25" t="n">
        <f aca="false">IF(C40&lt;(($C$6-$B$6)/($D$6-$B$6)),$B$6+SQRT(C40*($D$6-$B$6)*($C$6-$B$6)),$D$6-SQRT((1-C40)*($D$6-$B$6)*($D$6-$C$6)))</f>
        <v>9.70814497578408</v>
      </c>
      <c r="E40" s="26" t="n">
        <f aca="true">MAX(0,$E$6+$F$6*_xlfn.NORM.S.INV(RAND()))</f>
        <v>13.7609322750479</v>
      </c>
      <c r="F40" s="27" t="n">
        <f aca="false">1/(1+EXP(-03_Inputs_Assumptions!$B$14*(E40-03_Inputs_Assumptions!$B$5)))</f>
        <v>0.140666296561084</v>
      </c>
      <c r="G40" s="28" t="n">
        <f aca="false">D40*04_Baseline_PnL!$B$15*F40*04_Baseline_PnL!$B$14</f>
        <v>390495.279281249</v>
      </c>
      <c r="H40" s="28" t="n">
        <f aca="false">D40*03_Inputs_Assumptions!$B$13*01_Macro_Data!$B$97*($G$6-1)+D40*04_Baseline_PnL!$B$15*04_Baseline_PnL!$B$13*03_Inputs_Assumptions!$B$15*($H$6-1)</f>
        <v>1186040.18843355</v>
      </c>
      <c r="I40" s="16" t="n">
        <f aca="false">G40+H40</f>
        <v>1576535.4677148</v>
      </c>
    </row>
    <row r="41" customFormat="false" ht="15" hidden="false" customHeight="true" outlineLevel="0" collapsed="false">
      <c r="A41" s="4" t="s">
        <v>302</v>
      </c>
      <c r="B41" s="4" t="n">
        <v>31</v>
      </c>
      <c r="C41" s="24" t="n">
        <f aca="true">RAND()</f>
        <v>0.383872634877792</v>
      </c>
      <c r="D41" s="25" t="n">
        <f aca="false">IF(C41&lt;(($C$6-$B$6)/($D$6-$B$6)),$B$6+SQRT(C41*($D$6-$B$6)*($C$6-$B$6)),$D$6-SQRT((1-C41)*($D$6-$B$6)*($D$6-$C$6)))</f>
        <v>10.0712347988507</v>
      </c>
      <c r="E41" s="26" t="n">
        <f aca="true">MAX(0,$E$6+$F$6*_xlfn.NORM.S.INV(RAND()))</f>
        <v>11.0282833292484</v>
      </c>
      <c r="F41" s="27" t="n">
        <f aca="false">1/(1+EXP(-03_Inputs_Assumptions!$B$14*(E41-03_Inputs_Assumptions!$B$5)))</f>
        <v>0.0763553606363491</v>
      </c>
      <c r="G41" s="28" t="n">
        <f aca="false">D41*04_Baseline_PnL!$B$15*F41*04_Baseline_PnL!$B$14</f>
        <v>219893.167451688</v>
      </c>
      <c r="H41" s="28" t="n">
        <f aca="false">D41*03_Inputs_Assumptions!$B$13*01_Macro_Data!$B$97*($G$6-1)+D41*04_Baseline_PnL!$B$15*04_Baseline_PnL!$B$13*03_Inputs_Assumptions!$B$15*($H$6-1)</f>
        <v>1230398.72688167</v>
      </c>
      <c r="I41" s="16" t="n">
        <f aca="false">G41+H41</f>
        <v>1450291.89433336</v>
      </c>
    </row>
    <row r="42" customFormat="false" ht="15" hidden="false" customHeight="true" outlineLevel="0" collapsed="false">
      <c r="A42" s="4" t="s">
        <v>302</v>
      </c>
      <c r="B42" s="4" t="n">
        <v>32</v>
      </c>
      <c r="C42" s="24" t="n">
        <f aca="true">RAND()</f>
        <v>0.244027109188956</v>
      </c>
      <c r="D42" s="25" t="n">
        <f aca="false">IF(C42&lt;(($C$6-$B$6)/($D$6-$B$6)),$B$6+SQRT(C42*($D$6-$B$6)*($C$6-$B$6)),$D$6-SQRT((1-C42)*($D$6-$B$6)*($D$6-$C$6)))</f>
        <v>8.84010356109658</v>
      </c>
      <c r="E42" s="26" t="n">
        <f aca="true">MAX(0,$E$6+$F$6*_xlfn.NORM.S.INV(RAND()))</f>
        <v>13.5525229781277</v>
      </c>
      <c r="F42" s="27" t="n">
        <f aca="false">1/(1+EXP(-03_Inputs_Assumptions!$B$14*(E42-03_Inputs_Assumptions!$B$5)))</f>
        <v>0.134485323747426</v>
      </c>
      <c r="G42" s="28" t="n">
        <f aca="false">D42*04_Baseline_PnL!$B$15*F42*04_Baseline_PnL!$B$14</f>
        <v>339955.229918012</v>
      </c>
      <c r="H42" s="28" t="n">
        <f aca="false">D42*03_Inputs_Assumptions!$B$13*01_Macro_Data!$B$97*($G$6-1)+D42*04_Baseline_PnL!$B$15*04_Baseline_PnL!$B$13*03_Inputs_Assumptions!$B$15*($H$6-1)</f>
        <v>1079991.91601774</v>
      </c>
      <c r="I42" s="16" t="n">
        <f aca="false">G42+H42</f>
        <v>1419947.14593576</v>
      </c>
    </row>
    <row r="43" customFormat="false" ht="15" hidden="false" customHeight="true" outlineLevel="0" collapsed="false">
      <c r="A43" s="4" t="s">
        <v>302</v>
      </c>
      <c r="B43" s="4" t="n">
        <v>33</v>
      </c>
      <c r="C43" s="24" t="n">
        <f aca="true">RAND()</f>
        <v>0.105854606528637</v>
      </c>
      <c r="D43" s="25" t="n">
        <f aca="false">IF(C43&lt;(($C$6-$B$6)/($D$6-$B$6)),$B$6+SQRT(C43*($D$6-$B$6)*($C$6-$B$6)),$D$6-SQRT((1-C43)*($D$6-$B$6)*($D$6-$C$6)))</f>
        <v>7.18779582576256</v>
      </c>
      <c r="E43" s="26" t="n">
        <f aca="true">MAX(0,$E$6+$F$6*_xlfn.NORM.S.INV(RAND()))</f>
        <v>14.3039241346501</v>
      </c>
      <c r="F43" s="27" t="n">
        <f aca="false">1/(1+EXP(-03_Inputs_Assumptions!$B$14*(E43-03_Inputs_Assumptions!$B$5)))</f>
        <v>0.157889081598194</v>
      </c>
      <c r="G43" s="28" t="n">
        <f aca="false">D43*04_Baseline_PnL!$B$15*F43*04_Baseline_PnL!$B$14</f>
        <v>324516.895019419</v>
      </c>
      <c r="H43" s="28" t="n">
        <f aca="false">D43*03_Inputs_Assumptions!$B$13*01_Macro_Data!$B$97*($G$6-1)+D43*04_Baseline_PnL!$B$15*04_Baseline_PnL!$B$13*03_Inputs_Assumptions!$B$15*($H$6-1)</f>
        <v>878130.140915081</v>
      </c>
      <c r="I43" s="16" t="n">
        <f aca="false">G43+H43</f>
        <v>1202647.0359345</v>
      </c>
    </row>
    <row r="44" customFormat="false" ht="15" hidden="false" customHeight="true" outlineLevel="0" collapsed="false">
      <c r="A44" s="4" t="s">
        <v>302</v>
      </c>
      <c r="B44" s="4" t="n">
        <v>34</v>
      </c>
      <c r="C44" s="24" t="n">
        <f aca="true">RAND()</f>
        <v>0.478405373401015</v>
      </c>
      <c r="D44" s="25" t="n">
        <f aca="false">IF(C44&lt;(($C$6-$B$6)/($D$6-$B$6)),$B$6+SQRT(C44*($D$6-$B$6)*($C$6-$B$6)),$D$6-SQRT((1-C44)*($D$6-$B$6)*($D$6-$C$6)))</f>
        <v>10.8646215045113</v>
      </c>
      <c r="E44" s="26" t="n">
        <f aca="true">MAX(0,$E$6+$F$6*_xlfn.NORM.S.INV(RAND()))</f>
        <v>16.9814258808886</v>
      </c>
      <c r="F44" s="27" t="n">
        <f aca="false">1/(1+EXP(-03_Inputs_Assumptions!$B$14*(E44-03_Inputs_Assumptions!$B$5)))</f>
        <v>0.268029428144544</v>
      </c>
      <c r="G44" s="28" t="n">
        <f aca="false">D44*04_Baseline_PnL!$B$15*F44*04_Baseline_PnL!$B$14</f>
        <v>832696.160644204</v>
      </c>
      <c r="H44" s="28" t="n">
        <f aca="false">D44*03_Inputs_Assumptions!$B$13*01_Macro_Data!$B$97*($G$6-1)+D44*04_Baseline_PnL!$B$15*04_Baseline_PnL!$B$13*03_Inputs_Assumptions!$B$15*($H$6-1)</f>
        <v>1327326.46335754</v>
      </c>
      <c r="I44" s="16" t="n">
        <f aca="false">G44+H44</f>
        <v>2160022.62400175</v>
      </c>
    </row>
    <row r="45" customFormat="false" ht="15" hidden="false" customHeight="true" outlineLevel="0" collapsed="false">
      <c r="A45" s="4" t="s">
        <v>302</v>
      </c>
      <c r="B45" s="4" t="n">
        <v>35</v>
      </c>
      <c r="C45" s="24" t="n">
        <f aca="true">RAND()</f>
        <v>0.256103213764515</v>
      </c>
      <c r="D45" s="25" t="n">
        <f aca="false">IF(C45&lt;(($C$6-$B$6)/($D$6-$B$6)),$B$6+SQRT(C45*($D$6-$B$6)*($C$6-$B$6)),$D$6-SQRT((1-C45)*($D$6-$B$6)*($D$6-$C$6)))</f>
        <v>8.95841794541298</v>
      </c>
      <c r="E45" s="26" t="n">
        <f aca="true">MAX(0,$E$6+$F$6*_xlfn.NORM.S.INV(RAND()))</f>
        <v>14.0762995414288</v>
      </c>
      <c r="F45" s="27" t="n">
        <f aca="false">1/(1+EXP(-03_Inputs_Assumptions!$B$14*(E45-03_Inputs_Assumptions!$B$5)))</f>
        <v>0.150469285689827</v>
      </c>
      <c r="G45" s="28" t="n">
        <f aca="false">D45*04_Baseline_PnL!$B$15*F45*04_Baseline_PnL!$B$14</f>
        <v>385450.541976995</v>
      </c>
      <c r="H45" s="28" t="n">
        <f aca="false">D45*03_Inputs_Assumptions!$B$13*01_Macro_Data!$B$97*($G$6-1)+D45*04_Baseline_PnL!$B$15*04_Baseline_PnL!$B$13*03_Inputs_Assumptions!$B$15*($H$6-1)</f>
        <v>1094446.33702393</v>
      </c>
      <c r="I45" s="16" t="n">
        <f aca="false">G45+H45</f>
        <v>1479896.87900092</v>
      </c>
    </row>
    <row r="46" customFormat="false" ht="15" hidden="false" customHeight="true" outlineLevel="0" collapsed="false">
      <c r="A46" s="4" t="s">
        <v>302</v>
      </c>
      <c r="B46" s="4" t="n">
        <v>36</v>
      </c>
      <c r="C46" s="24" t="n">
        <f aca="true">RAND()</f>
        <v>0.344394288128639</v>
      </c>
      <c r="D46" s="25" t="n">
        <f aca="false">IF(C46&lt;(($C$6-$B$6)/($D$6-$B$6)),$B$6+SQRT(C46*($D$6-$B$6)*($C$6-$B$6)),$D$6-SQRT((1-C46)*($D$6-$B$6)*($D$6-$C$6)))</f>
        <v>9.74994362236269</v>
      </c>
      <c r="E46" s="26" t="n">
        <f aca="true">MAX(0,$E$6+$F$6*_xlfn.NORM.S.INV(RAND()))</f>
        <v>10.4162441239345</v>
      </c>
      <c r="F46" s="27" t="n">
        <f aca="false">1/(1+EXP(-03_Inputs_Assumptions!$B$14*(E46-03_Inputs_Assumptions!$B$5)))</f>
        <v>0.0662397505379533</v>
      </c>
      <c r="G46" s="28" t="n">
        <f aca="false">D46*04_Baseline_PnL!$B$15*F46*04_Baseline_PnL!$B$14</f>
        <v>184675.921145613</v>
      </c>
      <c r="H46" s="28" t="n">
        <f aca="false">D46*03_Inputs_Assumptions!$B$13*01_Macro_Data!$B$97*($G$6-1)+D46*04_Baseline_PnL!$B$15*04_Baseline_PnL!$B$13*03_Inputs_Assumptions!$B$15*($H$6-1)</f>
        <v>1191146.7123666</v>
      </c>
      <c r="I46" s="16" t="n">
        <f aca="false">G46+H46</f>
        <v>1375822.63351221</v>
      </c>
    </row>
    <row r="47" customFormat="false" ht="15" hidden="false" customHeight="true" outlineLevel="0" collapsed="false">
      <c r="A47" s="4" t="s">
        <v>302</v>
      </c>
      <c r="B47" s="4" t="n">
        <v>37</v>
      </c>
      <c r="C47" s="24" t="n">
        <f aca="true">RAND()</f>
        <v>0.0882609827916807</v>
      </c>
      <c r="D47" s="25" t="n">
        <f aca="false">IF(C47&lt;(($C$6-$B$6)/($D$6-$B$6)),$B$6+SQRT(C47*($D$6-$B$6)*($C$6-$B$6)),$D$6-SQRT((1-C47)*($D$6-$B$6)*($D$6-$C$6)))</f>
        <v>6.91085113806964</v>
      </c>
      <c r="E47" s="26" t="n">
        <f aca="true">MAX(0,$E$6+$F$6*_xlfn.NORM.S.INV(RAND()))</f>
        <v>19.2964380745721</v>
      </c>
      <c r="F47" s="27" t="n">
        <f aca="false">1/(1+EXP(-03_Inputs_Assumptions!$B$14*(E47-03_Inputs_Assumptions!$B$5)))</f>
        <v>0.395108072438068</v>
      </c>
      <c r="G47" s="28" t="n">
        <f aca="false">D47*04_Baseline_PnL!$B$15*F47*04_Baseline_PnL!$B$14</f>
        <v>780794.817953184</v>
      </c>
      <c r="H47" s="28" t="n">
        <f aca="false">D47*03_Inputs_Assumptions!$B$13*01_Macro_Data!$B$97*($G$6-1)+D47*04_Baseline_PnL!$B$15*04_Baseline_PnL!$B$13*03_Inputs_Assumptions!$B$15*($H$6-1)</f>
        <v>844295.919197513</v>
      </c>
      <c r="I47" s="16" t="n">
        <f aca="false">G47+H47</f>
        <v>1625090.7371507</v>
      </c>
    </row>
    <row r="48" customFormat="false" ht="15" hidden="false" customHeight="true" outlineLevel="0" collapsed="false">
      <c r="A48" s="4" t="s">
        <v>302</v>
      </c>
      <c r="B48" s="4" t="n">
        <v>38</v>
      </c>
      <c r="C48" s="24" t="n">
        <f aca="true">RAND()</f>
        <v>0.546243530651132</v>
      </c>
      <c r="D48" s="25" t="n">
        <f aca="false">IF(C48&lt;(($C$6-$B$6)/($D$6-$B$6)),$B$6+SQRT(C48*($D$6-$B$6)*($C$6-$B$6)),$D$6-SQRT((1-C48)*($D$6-$B$6)*($D$6-$C$6)))</f>
        <v>11.4793758975167</v>
      </c>
      <c r="E48" s="26" t="n">
        <f aca="true">MAX(0,$E$6+$F$6*_xlfn.NORM.S.INV(RAND()))</f>
        <v>6.08613681351162</v>
      </c>
      <c r="F48" s="27" t="n">
        <f aca="false">1/(1+EXP(-03_Inputs_Assumptions!$B$14*(E48-03_Inputs_Assumptions!$B$5)))</f>
        <v>0.0234657984905125</v>
      </c>
      <c r="G48" s="28" t="n">
        <f aca="false">D48*04_Baseline_PnL!$B$15*F48*04_Baseline_PnL!$B$14</f>
        <v>77027.0198449099</v>
      </c>
      <c r="H48" s="28" t="n">
        <f aca="false">D48*03_Inputs_Assumptions!$B$13*01_Macro_Data!$B$97*($G$6-1)+D48*04_Baseline_PnL!$B$15*04_Baseline_PnL!$B$13*03_Inputs_Assumptions!$B$15*($H$6-1)</f>
        <v>1402430.76164926</v>
      </c>
      <c r="I48" s="16" t="n">
        <f aca="false">G48+H48</f>
        <v>1479457.78149417</v>
      </c>
    </row>
    <row r="49" customFormat="false" ht="15" hidden="false" customHeight="true" outlineLevel="0" collapsed="false">
      <c r="A49" s="4" t="s">
        <v>302</v>
      </c>
      <c r="B49" s="4" t="n">
        <v>39</v>
      </c>
      <c r="C49" s="24" t="n">
        <f aca="true">RAND()</f>
        <v>0.308568551322897</v>
      </c>
      <c r="D49" s="25" t="n">
        <f aca="false">IF(C49&lt;(($C$6-$B$6)/($D$6-$B$6)),$B$6+SQRT(C49*($D$6-$B$6)*($C$6-$B$6)),$D$6-SQRT((1-C49)*($D$6-$B$6)*($D$6-$C$6)))</f>
        <v>9.4426630363268</v>
      </c>
      <c r="E49" s="26" t="n">
        <f aca="true">MAX(0,$E$6+$F$6*_xlfn.NORM.S.INV(RAND()))</f>
        <v>11.3529118341294</v>
      </c>
      <c r="F49" s="27" t="n">
        <f aca="false">1/(1+EXP(-03_Inputs_Assumptions!$B$14*(E49-03_Inputs_Assumptions!$B$5)))</f>
        <v>0.0822794130588541</v>
      </c>
      <c r="G49" s="28" t="n">
        <f aca="false">D49*04_Baseline_PnL!$B$15*F49*04_Baseline_PnL!$B$14</f>
        <v>222164.753075792</v>
      </c>
      <c r="H49" s="28" t="n">
        <f aca="false">D49*03_Inputs_Assumptions!$B$13*01_Macro_Data!$B$97*($G$6-1)+D49*04_Baseline_PnL!$B$15*04_Baseline_PnL!$B$13*03_Inputs_Assumptions!$B$15*($H$6-1)</f>
        <v>1153606.36608283</v>
      </c>
      <c r="I49" s="16" t="n">
        <f aca="false">G49+H49</f>
        <v>1375771.11915862</v>
      </c>
    </row>
    <row r="50" customFormat="false" ht="15" hidden="false" customHeight="true" outlineLevel="0" collapsed="false">
      <c r="A50" s="4" t="s">
        <v>302</v>
      </c>
      <c r="B50" s="4" t="n">
        <v>40</v>
      </c>
      <c r="C50" s="24" t="n">
        <f aca="true">RAND()</f>
        <v>0.51435903417044</v>
      </c>
      <c r="D50" s="25" t="n">
        <f aca="false">IF(C50&lt;(($C$6-$B$6)/($D$6-$B$6)),$B$6+SQRT(C50*($D$6-$B$6)*($C$6-$B$6)),$D$6-SQRT((1-C50)*($D$6-$B$6)*($D$6-$C$6)))</f>
        <v>11.1850947519143</v>
      </c>
      <c r="E50" s="26" t="n">
        <f aca="true">MAX(0,$E$6+$F$6*_xlfn.NORM.S.INV(RAND()))</f>
        <v>8.63379324778278</v>
      </c>
      <c r="F50" s="27" t="n">
        <f aca="false">1/(1+EXP(-03_Inputs_Assumptions!$B$14*(E50-03_Inputs_Assumptions!$B$5)))</f>
        <v>0.0434570877897909</v>
      </c>
      <c r="G50" s="28" t="n">
        <f aca="false">D50*04_Baseline_PnL!$B$15*F50*04_Baseline_PnL!$B$14</f>
        <v>138991.988457213</v>
      </c>
      <c r="H50" s="28" t="n">
        <f aca="false">D50*03_Inputs_Assumptions!$B$13*01_Macro_Data!$B$97*($G$6-1)+D50*04_Baseline_PnL!$B$15*04_Baseline_PnL!$B$13*03_Inputs_Assumptions!$B$15*($H$6-1)</f>
        <v>1366478.55180346</v>
      </c>
      <c r="I50" s="16" t="n">
        <f aca="false">G50+H50</f>
        <v>1505470.54026068</v>
      </c>
    </row>
    <row r="51" customFormat="false" ht="15" hidden="false" customHeight="true" outlineLevel="0" collapsed="false">
      <c r="A51" s="4" t="s">
        <v>302</v>
      </c>
      <c r="B51" s="4" t="n">
        <v>41</v>
      </c>
      <c r="C51" s="24" t="n">
        <f aca="true">RAND()</f>
        <v>0.639298077016516</v>
      </c>
      <c r="D51" s="25" t="n">
        <f aca="false">IF(C51&lt;(($C$6-$B$6)/($D$6-$B$6)),$B$6+SQRT(C51*($D$6-$B$6)*($C$6-$B$6)),$D$6-SQRT((1-C51)*($D$6-$B$6)*($D$6-$C$6)))</f>
        <v>12.4031383007615</v>
      </c>
      <c r="E51" s="26" t="n">
        <f aca="true">MAX(0,$E$6+$F$6*_xlfn.NORM.S.INV(RAND()))</f>
        <v>11.664026561624</v>
      </c>
      <c r="F51" s="27" t="n">
        <f aca="false">1/(1+EXP(-03_Inputs_Assumptions!$B$14*(E51-03_Inputs_Assumptions!$B$5)))</f>
        <v>0.0883465033233354</v>
      </c>
      <c r="G51" s="28" t="n">
        <f aca="false">D51*04_Baseline_PnL!$B$15*F51*04_Baseline_PnL!$B$14</f>
        <v>313336.099395258</v>
      </c>
      <c r="H51" s="28" t="n">
        <f aca="false">D51*03_Inputs_Assumptions!$B$13*01_Macro_Data!$B$97*($G$6-1)+D51*04_Baseline_PnL!$B$15*04_Baseline_PnL!$B$13*03_Inputs_Assumptions!$B$15*($H$6-1)</f>
        <v>1515286.44494871</v>
      </c>
      <c r="I51" s="16" t="n">
        <f aca="false">G51+H51</f>
        <v>1828622.54434397</v>
      </c>
    </row>
    <row r="52" customFormat="false" ht="15" hidden="false" customHeight="true" outlineLevel="0" collapsed="false">
      <c r="A52" s="4" t="s">
        <v>302</v>
      </c>
      <c r="B52" s="4" t="n">
        <v>42</v>
      </c>
      <c r="C52" s="24" t="n">
        <f aca="true">RAND()</f>
        <v>0.236108193664491</v>
      </c>
      <c r="D52" s="25" t="n">
        <f aca="false">IF(C52&lt;(($C$6-$B$6)/($D$6-$B$6)),$B$6+SQRT(C52*($D$6-$B$6)*($C$6-$B$6)),$D$6-SQRT((1-C52)*($D$6-$B$6)*($D$6-$C$6)))</f>
        <v>8.7609228718591</v>
      </c>
      <c r="E52" s="26" t="n">
        <f aca="true">MAX(0,$E$6+$F$6*_xlfn.NORM.S.INV(RAND()))</f>
        <v>15.4172033880307</v>
      </c>
      <c r="F52" s="27" t="n">
        <f aca="false">1/(1+EXP(-03_Inputs_Assumptions!$B$14*(E52-03_Inputs_Assumptions!$B$5)))</f>
        <v>0.198499477989667</v>
      </c>
      <c r="G52" s="28" t="n">
        <f aca="false">D52*04_Baseline_PnL!$B$15*F52*04_Baseline_PnL!$B$14</f>
        <v>497277.382971574</v>
      </c>
      <c r="H52" s="28" t="n">
        <f aca="false">D52*03_Inputs_Assumptions!$B$13*01_Macro_Data!$B$97*($G$6-1)+D52*04_Baseline_PnL!$B$15*04_Baseline_PnL!$B$13*03_Inputs_Assumptions!$B$15*($H$6-1)</f>
        <v>1070318.44288588</v>
      </c>
      <c r="I52" s="16" t="n">
        <f aca="false">G52+H52</f>
        <v>1567595.82585745</v>
      </c>
    </row>
    <row r="53" customFormat="false" ht="15" hidden="false" customHeight="true" outlineLevel="0" collapsed="false">
      <c r="A53" s="4" t="s">
        <v>302</v>
      </c>
      <c r="B53" s="4" t="n">
        <v>43</v>
      </c>
      <c r="C53" s="24" t="n">
        <f aca="true">RAND()</f>
        <v>0.498997565247366</v>
      </c>
      <c r="D53" s="25" t="n">
        <f aca="false">IF(C53&lt;(($C$6-$B$6)/($D$6-$B$6)),$B$6+SQRT(C53*($D$6-$B$6)*($C$6-$B$6)),$D$6-SQRT((1-C53)*($D$6-$B$6)*($D$6-$C$6)))</f>
        <v>11.0467665304416</v>
      </c>
      <c r="E53" s="26" t="n">
        <f aca="true">MAX(0,$E$6+$F$6*_xlfn.NORM.S.INV(RAND()))</f>
        <v>11.1443047491876</v>
      </c>
      <c r="F53" s="27" t="n">
        <f aca="false">1/(1+EXP(-03_Inputs_Assumptions!$B$14*(E53-03_Inputs_Assumptions!$B$5)))</f>
        <v>0.0784262717560502</v>
      </c>
      <c r="G53" s="28" t="n">
        <f aca="false">D53*04_Baseline_PnL!$B$15*F53*04_Baseline_PnL!$B$14</f>
        <v>247734.348894851</v>
      </c>
      <c r="H53" s="28" t="n">
        <f aca="false">D53*03_Inputs_Assumptions!$B$13*01_Macro_Data!$B$97*($G$6-1)+D53*04_Baseline_PnL!$B$15*04_Baseline_PnL!$B$13*03_Inputs_Assumptions!$B$15*($H$6-1)</f>
        <v>1349579.04831743</v>
      </c>
      <c r="I53" s="16" t="n">
        <f aca="false">G53+H53</f>
        <v>1597313.39721228</v>
      </c>
    </row>
    <row r="54" customFormat="false" ht="15" hidden="false" customHeight="true" outlineLevel="0" collapsed="false">
      <c r="A54" s="4" t="s">
        <v>302</v>
      </c>
      <c r="B54" s="4" t="n">
        <v>44</v>
      </c>
      <c r="C54" s="24" t="n">
        <f aca="true">RAND()</f>
        <v>0.26257617452467</v>
      </c>
      <c r="D54" s="25" t="n">
        <f aca="false">IF(C54&lt;(($C$6-$B$6)/($D$6-$B$6)),$B$6+SQRT(C54*($D$6-$B$6)*($C$6-$B$6)),$D$6-SQRT((1-C54)*($D$6-$B$6)*($D$6-$C$6)))</f>
        <v>9.02068847414061</v>
      </c>
      <c r="E54" s="26" t="n">
        <f aca="true">MAX(0,$E$6+$F$6*_xlfn.NORM.S.INV(RAND()))</f>
        <v>18.1723105332221</v>
      </c>
      <c r="F54" s="27" t="n">
        <f aca="false">1/(1+EXP(-03_Inputs_Assumptions!$B$14*(E54-03_Inputs_Assumptions!$B$5)))</f>
        <v>0.330279240935019</v>
      </c>
      <c r="G54" s="28" t="n">
        <f aca="false">D54*04_Baseline_PnL!$B$15*F54*04_Baseline_PnL!$B$14</f>
        <v>851942.813774796</v>
      </c>
      <c r="H54" s="28" t="n">
        <f aca="false">D54*03_Inputs_Assumptions!$B$13*01_Macro_Data!$B$97*($G$6-1)+D54*04_Baseline_PnL!$B$15*04_Baseline_PnL!$B$13*03_Inputs_Assumptions!$B$15*($H$6-1)</f>
        <v>1102053.90261037</v>
      </c>
      <c r="I54" s="16" t="n">
        <f aca="false">G54+H54</f>
        <v>1953996.71638516</v>
      </c>
    </row>
    <row r="55" customFormat="false" ht="15" hidden="false" customHeight="true" outlineLevel="0" collapsed="false">
      <c r="A55" s="4" t="s">
        <v>302</v>
      </c>
      <c r="B55" s="4" t="n">
        <v>45</v>
      </c>
      <c r="C55" s="24" t="n">
        <f aca="true">RAND()</f>
        <v>0.194709863794509</v>
      </c>
      <c r="D55" s="25" t="n">
        <f aca="false">IF(C55&lt;(($C$6-$B$6)/($D$6-$B$6)),$B$6+SQRT(C55*($D$6-$B$6)*($C$6-$B$6)),$D$6-SQRT((1-C55)*($D$6-$B$6)*($D$6-$C$6)))</f>
        <v>8.32344156017783</v>
      </c>
      <c r="E55" s="26" t="n">
        <f aca="true">MAX(0,$E$6+$F$6*_xlfn.NORM.S.INV(RAND()))</f>
        <v>9.10721532909091</v>
      </c>
      <c r="F55" s="27" t="n">
        <f aca="false">1/(1+EXP(-03_Inputs_Assumptions!$B$14*(E55-03_Inputs_Assumptions!$B$5)))</f>
        <v>0.048651576064867</v>
      </c>
      <c r="G55" s="28" t="n">
        <f aca="false">D55*04_Baseline_PnL!$B$15*F55*04_Baseline_PnL!$B$14</f>
        <v>115794.872714599</v>
      </c>
      <c r="H55" s="28" t="n">
        <f aca="false">D55*03_Inputs_Assumptions!$B$13*01_Macro_Data!$B$97*($G$6-1)+D55*04_Baseline_PnL!$B$15*04_Baseline_PnL!$B$13*03_Inputs_Assumptions!$B$15*($H$6-1)</f>
        <v>1016871.5260303</v>
      </c>
      <c r="I55" s="16" t="n">
        <f aca="false">G55+H55</f>
        <v>1132666.3987449</v>
      </c>
    </row>
    <row r="56" customFormat="false" ht="15" hidden="false" customHeight="true" outlineLevel="0" collapsed="false">
      <c r="A56" s="4" t="s">
        <v>302</v>
      </c>
      <c r="B56" s="4" t="n">
        <v>46</v>
      </c>
      <c r="C56" s="24" t="n">
        <f aca="true">RAND()</f>
        <v>0.0678334185479601</v>
      </c>
      <c r="D56" s="25" t="n">
        <f aca="false">IF(C56&lt;(($C$6-$B$6)/($D$6-$B$6)),$B$6+SQRT(C56*($D$6-$B$6)*($C$6-$B$6)),$D$6-SQRT((1-C56)*($D$6-$B$6)*($D$6-$C$6)))</f>
        <v>6.55186366810693</v>
      </c>
      <c r="E56" s="26" t="n">
        <f aca="true">MAX(0,$E$6+$F$6*_xlfn.NORM.S.INV(RAND()))</f>
        <v>8.65654525025795</v>
      </c>
      <c r="F56" s="27" t="n">
        <f aca="false">1/(1+EXP(-03_Inputs_Assumptions!$B$14*(E56-03_Inputs_Assumptions!$B$5)))</f>
        <v>0.0436941447921237</v>
      </c>
      <c r="G56" s="28" t="n">
        <f aca="false">D56*04_Baseline_PnL!$B$15*F56*04_Baseline_PnL!$B$14</f>
        <v>81861.1001150006</v>
      </c>
      <c r="H56" s="28" t="n">
        <f aca="false">D56*03_Inputs_Assumptions!$B$13*01_Macro_Data!$B$97*($G$6-1)+D56*04_Baseline_PnL!$B$15*04_Baseline_PnL!$B$13*03_Inputs_Assumptions!$B$15*($H$6-1)</f>
        <v>800438.563587157</v>
      </c>
      <c r="I56" s="16" t="n">
        <f aca="false">G56+H56</f>
        <v>882299.663702157</v>
      </c>
    </row>
    <row r="57" customFormat="false" ht="15" hidden="false" customHeight="true" outlineLevel="0" collapsed="false">
      <c r="A57" s="4" t="s">
        <v>302</v>
      </c>
      <c r="B57" s="4" t="n">
        <v>47</v>
      </c>
      <c r="C57" s="24" t="n">
        <f aca="true">RAND()</f>
        <v>0.999042205167056</v>
      </c>
      <c r="D57" s="25" t="n">
        <f aca="false">IF(C57&lt;(($C$6-$B$6)/($D$6-$B$6)),$B$6+SQRT(C57*($D$6-$B$6)*($C$6-$B$6)),$D$6-SQRT((1-C57)*($D$6-$B$6)*($D$6-$C$6)))</f>
        <v>19.6085320277837</v>
      </c>
      <c r="E57" s="26" t="n">
        <f aca="true">MAX(0,$E$6+$F$6*_xlfn.NORM.S.INV(RAND()))</f>
        <v>19.7684325697613</v>
      </c>
      <c r="F57" s="27" t="n">
        <f aca="false">1/(1+EXP(-03_Inputs_Assumptions!$B$14*(E57-03_Inputs_Assumptions!$B$5)))</f>
        <v>0.423629395751775</v>
      </c>
      <c r="G57" s="28" t="n">
        <f aca="false">D57*04_Baseline_PnL!$B$15*F57*04_Baseline_PnL!$B$14</f>
        <v>2375311.93778646</v>
      </c>
      <c r="H57" s="28" t="n">
        <f aca="false">D57*03_Inputs_Assumptions!$B$13*01_Macro_Data!$B$97*($G$6-1)+D57*04_Baseline_PnL!$B$15*04_Baseline_PnL!$B$13*03_Inputs_Assumptions!$B$15*($H$6-1)</f>
        <v>2395566.51442153</v>
      </c>
      <c r="I57" s="16" t="n">
        <f aca="false">G57+H57</f>
        <v>4770878.45220799</v>
      </c>
    </row>
    <row r="58" customFormat="false" ht="15" hidden="false" customHeight="true" outlineLevel="0" collapsed="false">
      <c r="A58" s="4" t="s">
        <v>302</v>
      </c>
      <c r="B58" s="4" t="n">
        <v>48</v>
      </c>
      <c r="C58" s="24" t="n">
        <f aca="true">RAND()</f>
        <v>0.450007549604176</v>
      </c>
      <c r="D58" s="25" t="n">
        <f aca="false">IF(C58&lt;(($C$6-$B$6)/($D$6-$B$6)),$B$6+SQRT(C58*($D$6-$B$6)*($C$6-$B$6)),$D$6-SQRT((1-C58)*($D$6-$B$6)*($D$6-$C$6)))</f>
        <v>10.6192328638148</v>
      </c>
      <c r="E58" s="26" t="n">
        <f aca="true">MAX(0,$E$6+$F$6*_xlfn.NORM.S.INV(RAND()))</f>
        <v>7.63658136055749</v>
      </c>
      <c r="F58" s="27" t="n">
        <f aca="false">1/(1+EXP(-03_Inputs_Assumptions!$B$14*(E58-03_Inputs_Assumptions!$B$5)))</f>
        <v>0.0341959199782244</v>
      </c>
      <c r="G58" s="28" t="n">
        <f aca="false">D58*04_Baseline_PnL!$B$15*F58*04_Baseline_PnL!$B$14</f>
        <v>103838.144177238</v>
      </c>
      <c r="H58" s="28" t="n">
        <f aca="false">D58*03_Inputs_Assumptions!$B$13*01_Macro_Data!$B$97*($G$6-1)+D58*04_Baseline_PnL!$B$15*04_Baseline_PnL!$B$13*03_Inputs_Assumptions!$B$15*($H$6-1)</f>
        <v>1297347.43127911</v>
      </c>
      <c r="I58" s="16" t="n">
        <f aca="false">G58+H58</f>
        <v>1401185.57545635</v>
      </c>
    </row>
    <row r="59" customFormat="false" ht="15" hidden="false" customHeight="true" outlineLevel="0" collapsed="false">
      <c r="A59" s="4" t="s">
        <v>302</v>
      </c>
      <c r="B59" s="4" t="n">
        <v>49</v>
      </c>
      <c r="C59" s="24" t="n">
        <f aca="true">RAND()</f>
        <v>0.216640278849038</v>
      </c>
      <c r="D59" s="25" t="n">
        <f aca="false">IF(C59&lt;(($C$6-$B$6)/($D$6-$B$6)),$B$6+SQRT(C59*($D$6-$B$6)*($C$6-$B$6)),$D$6-SQRT((1-C59)*($D$6-$B$6)*($D$6-$C$6)))</f>
        <v>8.56042396817529</v>
      </c>
      <c r="E59" s="26" t="n">
        <f aca="true">MAX(0,$E$6+$F$6*_xlfn.NORM.S.INV(RAND()))</f>
        <v>15.0407437882737</v>
      </c>
      <c r="F59" s="27" t="n">
        <f aca="false">1/(1+EXP(-03_Inputs_Assumptions!$B$14*(E59-03_Inputs_Assumptions!$B$5)))</f>
        <v>0.183949638696898</v>
      </c>
      <c r="G59" s="28" t="n">
        <f aca="false">D59*04_Baseline_PnL!$B$15*F59*04_Baseline_PnL!$B$14</f>
        <v>450281.075480128</v>
      </c>
      <c r="H59" s="28" t="n">
        <f aca="false">D59*03_Inputs_Assumptions!$B$13*01_Macro_Data!$B$97*($G$6-1)+D59*04_Baseline_PnL!$B$15*04_Baseline_PnL!$B$13*03_Inputs_Assumptions!$B$15*($H$6-1)</f>
        <v>1045823.57202239</v>
      </c>
      <c r="I59" s="16" t="n">
        <f aca="false">G59+H59</f>
        <v>1496104.64750252</v>
      </c>
    </row>
    <row r="60" customFormat="false" ht="15" hidden="false" customHeight="true" outlineLevel="0" collapsed="false">
      <c r="A60" s="4" t="s">
        <v>302</v>
      </c>
      <c r="B60" s="4" t="n">
        <v>50</v>
      </c>
      <c r="C60" s="24" t="n">
        <f aca="true">RAND()</f>
        <v>0.226803862053442</v>
      </c>
      <c r="D60" s="25" t="n">
        <f aca="false">IF(C60&lt;(($C$6-$B$6)/($D$6-$B$6)),$B$6+SQRT(C60*($D$6-$B$6)*($C$6-$B$6)),$D$6-SQRT((1-C60)*($D$6-$B$6)*($D$6-$C$6)))</f>
        <v>8.66617303120345</v>
      </c>
      <c r="E60" s="26" t="n">
        <f aca="true">MAX(0,$E$6+$F$6*_xlfn.NORM.S.INV(RAND()))</f>
        <v>4.54263278916016</v>
      </c>
      <c r="F60" s="27" t="n">
        <f aca="false">1/(1+EXP(-03_Inputs_Assumptions!$B$14*(E60-03_Inputs_Assumptions!$B$5)))</f>
        <v>0.0160740921811936</v>
      </c>
      <c r="G60" s="28" t="n">
        <f aca="false">D60*04_Baseline_PnL!$B$15*F60*04_Baseline_PnL!$B$14</f>
        <v>39833.0252749754</v>
      </c>
      <c r="H60" s="28" t="n">
        <f aca="false">D60*03_Inputs_Assumptions!$B$13*01_Macro_Data!$B$97*($G$6-1)+D60*04_Baseline_PnL!$B$15*04_Baseline_PnL!$B$13*03_Inputs_Assumptions!$B$15*($H$6-1)</f>
        <v>1058742.89275291</v>
      </c>
      <c r="I60" s="16" t="n">
        <f aca="false">G60+H60</f>
        <v>1098575.91802789</v>
      </c>
    </row>
    <row r="61" customFormat="false" ht="15" hidden="false" customHeight="true" outlineLevel="0" collapsed="false">
      <c r="A61" s="4" t="s">
        <v>302</v>
      </c>
      <c r="B61" s="4" t="n">
        <v>51</v>
      </c>
      <c r="C61" s="24" t="n">
        <f aca="true">RAND()</f>
        <v>0.252317508278898</v>
      </c>
      <c r="D61" s="25" t="n">
        <f aca="false">IF(C61&lt;(($C$6-$B$6)/($D$6-$B$6)),$B$6+SQRT(C61*($D$6-$B$6)*($C$6-$B$6)),$D$6-SQRT((1-C61)*($D$6-$B$6)*($D$6-$C$6)))</f>
        <v>8.92163395578889</v>
      </c>
      <c r="E61" s="26" t="n">
        <f aca="true">MAX(0,$E$6+$F$6*_xlfn.NORM.S.INV(RAND()))</f>
        <v>7.96415217361309</v>
      </c>
      <c r="F61" s="27" t="n">
        <f aca="false">1/(1+EXP(-03_Inputs_Assumptions!$B$14*(E61-03_Inputs_Assumptions!$B$5)))</f>
        <v>0.0370061839917241</v>
      </c>
      <c r="G61" s="28" t="n">
        <f aca="false">D61*04_Baseline_PnL!$B$15*F61*04_Baseline_PnL!$B$14</f>
        <v>94407.8670364442</v>
      </c>
      <c r="H61" s="28" t="n">
        <f aca="false">D61*03_Inputs_Assumptions!$B$13*01_Macro_Data!$B$97*($G$6-1)+D61*04_Baseline_PnL!$B$15*04_Baseline_PnL!$B$13*03_Inputs_Assumptions!$B$15*($H$6-1)</f>
        <v>1089952.45172515</v>
      </c>
      <c r="I61" s="16" t="n">
        <f aca="false">G61+H61</f>
        <v>1184360.31876159</v>
      </c>
    </row>
    <row r="62" customFormat="false" ht="15" hidden="false" customHeight="true" outlineLevel="0" collapsed="false">
      <c r="A62" s="4" t="s">
        <v>302</v>
      </c>
      <c r="B62" s="4" t="n">
        <v>52</v>
      </c>
      <c r="C62" s="24" t="n">
        <f aca="true">RAND()</f>
        <v>0.914089115493897</v>
      </c>
      <c r="D62" s="25" t="n">
        <f aca="false">IF(C62&lt;(($C$6-$B$6)/($D$6-$B$6)),$B$6+SQRT(C62*($D$6-$B$6)*($C$6-$B$6)),$D$6-SQRT((1-C62)*($D$6-$B$6)*($D$6-$C$6)))</f>
        <v>16.292475014113</v>
      </c>
      <c r="E62" s="26" t="n">
        <f aca="true">MAX(0,$E$6+$F$6*_xlfn.NORM.S.INV(RAND()))</f>
        <v>11.6006700458938</v>
      </c>
      <c r="F62" s="27" t="n">
        <f aca="false">1/(1+EXP(-03_Inputs_Assumptions!$B$14*(E62-03_Inputs_Assumptions!$B$5)))</f>
        <v>0.0870790880649899</v>
      </c>
      <c r="G62" s="28" t="n">
        <f aca="false">D62*04_Baseline_PnL!$B$15*F62*04_Baseline_PnL!$B$14</f>
        <v>405686.370324007</v>
      </c>
      <c r="H62" s="28" t="n">
        <f aca="false">D62*03_Inputs_Assumptions!$B$13*01_Macro_Data!$B$97*($G$6-1)+D62*04_Baseline_PnL!$B$15*04_Baseline_PnL!$B$13*03_Inputs_Assumptions!$B$15*($H$6-1)</f>
        <v>1990445.15548418</v>
      </c>
      <c r="I62" s="16" t="n">
        <f aca="false">G62+H62</f>
        <v>2396131.52580819</v>
      </c>
    </row>
    <row r="63" customFormat="false" ht="15" hidden="false" customHeight="true" outlineLevel="0" collapsed="false">
      <c r="A63" s="4" t="s">
        <v>302</v>
      </c>
      <c r="B63" s="4" t="n">
        <v>53</v>
      </c>
      <c r="C63" s="24" t="n">
        <f aca="true">RAND()</f>
        <v>0.694921301331556</v>
      </c>
      <c r="D63" s="25" t="n">
        <f aca="false">IF(C63&lt;(($C$6-$B$6)/($D$6-$B$6)),$B$6+SQRT(C63*($D$6-$B$6)*($C$6-$B$6)),$D$6-SQRT((1-C63)*($D$6-$B$6)*($D$6-$C$6)))</f>
        <v>13.0133991249714</v>
      </c>
      <c r="E63" s="26" t="n">
        <f aca="true">MAX(0,$E$6+$F$6*_xlfn.NORM.S.INV(RAND()))</f>
        <v>9.49611897082449</v>
      </c>
      <c r="F63" s="27" t="n">
        <f aca="false">1/(1+EXP(-03_Inputs_Assumptions!$B$14*(E63-03_Inputs_Assumptions!$B$5)))</f>
        <v>0.0533543031692695</v>
      </c>
      <c r="G63" s="28" t="n">
        <f aca="false">D63*04_Baseline_PnL!$B$15*F63*04_Baseline_PnL!$B$14</f>
        <v>198540.761550798</v>
      </c>
      <c r="H63" s="28" t="n">
        <f aca="false">D63*03_Inputs_Assumptions!$B$13*01_Macro_Data!$B$97*($G$6-1)+D63*04_Baseline_PnL!$B$15*04_Baseline_PnL!$B$13*03_Inputs_Assumptions!$B$15*($H$6-1)</f>
        <v>1589841.7657381</v>
      </c>
      <c r="I63" s="16" t="n">
        <f aca="false">G63+H63</f>
        <v>1788382.5272889</v>
      </c>
    </row>
    <row r="64" customFormat="false" ht="15" hidden="false" customHeight="true" outlineLevel="0" collapsed="false">
      <c r="A64" s="4" t="s">
        <v>302</v>
      </c>
      <c r="B64" s="4" t="n">
        <v>54</v>
      </c>
      <c r="C64" s="24" t="n">
        <f aca="true">RAND()</f>
        <v>0.949208744331946</v>
      </c>
      <c r="D64" s="25" t="n">
        <f aca="false">IF(C64&lt;(($C$6-$B$6)/($D$6-$B$6)),$B$6+SQRT(C64*($D$6-$B$6)*($C$6-$B$6)),$D$6-SQRT((1-C64)*($D$6-$B$6)*($D$6-$C$6)))</f>
        <v>17.1492806334385</v>
      </c>
      <c r="E64" s="26" t="n">
        <f aca="true">MAX(0,$E$6+$F$6*_xlfn.NORM.S.INV(RAND()))</f>
        <v>9.38798929950908</v>
      </c>
      <c r="F64" s="27" t="n">
        <f aca="false">1/(1+EXP(-03_Inputs_Assumptions!$B$14*(E64-03_Inputs_Assumptions!$B$5)))</f>
        <v>0.0520053295772436</v>
      </c>
      <c r="G64" s="28" t="n">
        <f aca="false">D64*04_Baseline_PnL!$B$15*F64*04_Baseline_PnL!$B$14</f>
        <v>255025.284968574</v>
      </c>
      <c r="H64" s="28" t="n">
        <f aca="false">D64*03_Inputs_Assumptions!$B$13*01_Macro_Data!$B$97*($G$6-1)+D64*04_Baseline_PnL!$B$15*04_Baseline_PnL!$B$13*03_Inputs_Assumptions!$B$15*($H$6-1)</f>
        <v>2095120.75527493</v>
      </c>
      <c r="I64" s="16" t="n">
        <f aca="false">G64+H64</f>
        <v>2350146.04024351</v>
      </c>
    </row>
    <row r="65" customFormat="false" ht="15" hidden="false" customHeight="true" outlineLevel="0" collapsed="false">
      <c r="A65" s="4" t="s">
        <v>302</v>
      </c>
      <c r="B65" s="4" t="n">
        <v>55</v>
      </c>
      <c r="C65" s="24" t="n">
        <f aca="true">RAND()</f>
        <v>0.809138697207516</v>
      </c>
      <c r="D65" s="25" t="n">
        <f aca="false">IF(C65&lt;(($C$6-$B$6)/($D$6-$B$6)),$B$6+SQRT(C65*($D$6-$B$6)*($C$6-$B$6)),$D$6-SQRT((1-C65)*($D$6-$B$6)*($D$6-$C$6)))</f>
        <v>14.4738975356226</v>
      </c>
      <c r="E65" s="26" t="n">
        <f aca="true">MAX(0,$E$6+$F$6*_xlfn.NORM.S.INV(RAND()))</f>
        <v>8.64195865215568</v>
      </c>
      <c r="F65" s="27" t="n">
        <f aca="false">1/(1+EXP(-03_Inputs_Assumptions!$B$14*(E65-03_Inputs_Assumptions!$B$5)))</f>
        <v>0.0435420229612563</v>
      </c>
      <c r="G65" s="28" t="n">
        <f aca="false">D65*04_Baseline_PnL!$B$15*F65*04_Baseline_PnL!$B$14</f>
        <v>180211.94648908</v>
      </c>
      <c r="H65" s="28" t="n">
        <f aca="false">D65*03_Inputs_Assumptions!$B$13*01_Macro_Data!$B$97*($G$6-1)+D65*04_Baseline_PnL!$B$15*04_Baseline_PnL!$B$13*03_Inputs_Assumptions!$B$15*($H$6-1)</f>
        <v>1768270.272368</v>
      </c>
      <c r="I65" s="16" t="n">
        <f aca="false">G65+H65</f>
        <v>1948482.21885708</v>
      </c>
    </row>
    <row r="66" customFormat="false" ht="15" hidden="false" customHeight="true" outlineLevel="0" collapsed="false">
      <c r="A66" s="4" t="s">
        <v>302</v>
      </c>
      <c r="B66" s="4" t="n">
        <v>56</v>
      </c>
      <c r="C66" s="24" t="n">
        <f aca="true">RAND()</f>
        <v>0.94464604960725</v>
      </c>
      <c r="D66" s="25" t="n">
        <f aca="false">IF(C66&lt;(($C$6-$B$6)/($D$6-$B$6)),$B$6+SQRT(C66*($D$6-$B$6)*($C$6-$B$6)),$D$6-SQRT((1-C66)*($D$6-$B$6)*($D$6-$C$6)))</f>
        <v>17.023990580855</v>
      </c>
      <c r="E66" s="26" t="n">
        <f aca="true">MAX(0,$E$6+$F$6*_xlfn.NORM.S.INV(RAND()))</f>
        <v>8.05702674819607</v>
      </c>
      <c r="F66" s="27" t="n">
        <f aca="false">1/(1+EXP(-03_Inputs_Assumptions!$B$14*(E66-03_Inputs_Assumptions!$B$5)))</f>
        <v>0.0378425741343932</v>
      </c>
      <c r="G66" s="28" t="n">
        <f aca="false">D66*04_Baseline_PnL!$B$15*F66*04_Baseline_PnL!$B$14</f>
        <v>184217.7705117</v>
      </c>
      <c r="H66" s="28" t="n">
        <f aca="false">D66*03_Inputs_Assumptions!$B$13*01_Macro_Data!$B$97*($G$6-1)+D66*04_Baseline_PnL!$B$15*04_Baseline_PnL!$B$13*03_Inputs_Assumptions!$B$15*($H$6-1)</f>
        <v>2079814.11966682</v>
      </c>
      <c r="I66" s="16" t="n">
        <f aca="false">G66+H66</f>
        <v>2264031.89017852</v>
      </c>
    </row>
    <row r="67" customFormat="false" ht="15" hidden="false" customHeight="true" outlineLevel="0" collapsed="false">
      <c r="A67" s="4" t="s">
        <v>302</v>
      </c>
      <c r="B67" s="4" t="n">
        <v>57</v>
      </c>
      <c r="C67" s="24" t="n">
        <f aca="true">RAND()</f>
        <v>0.418540814066354</v>
      </c>
      <c r="D67" s="25" t="n">
        <f aca="false">IF(C67&lt;(($C$6-$B$6)/($D$6-$B$6)),$B$6+SQRT(C67*($D$6-$B$6)*($C$6-$B$6)),$D$6-SQRT((1-C67)*($D$6-$B$6)*($D$6-$C$6)))</f>
        <v>10.3546140694432</v>
      </c>
      <c r="E67" s="26" t="n">
        <f aca="true">MAX(0,$E$6+$F$6*_xlfn.NORM.S.INV(RAND()))</f>
        <v>13.2722906088399</v>
      </c>
      <c r="F67" s="27" t="n">
        <f aca="false">1/(1+EXP(-03_Inputs_Assumptions!$B$14*(E67-03_Inputs_Assumptions!$B$5)))</f>
        <v>0.126537405301477</v>
      </c>
      <c r="G67" s="28" t="n">
        <f aca="false">D67*04_Baseline_PnL!$B$15*F67*04_Baseline_PnL!$B$14</f>
        <v>374664.308357184</v>
      </c>
      <c r="H67" s="28" t="n">
        <f aca="false">D67*03_Inputs_Assumptions!$B$13*01_Macro_Data!$B$97*($G$6-1)+D67*04_Baseline_PnL!$B$15*04_Baseline_PnL!$B$13*03_Inputs_Assumptions!$B$15*($H$6-1)</f>
        <v>1265019.05901825</v>
      </c>
      <c r="I67" s="16" t="n">
        <f aca="false">G67+H67</f>
        <v>1639683.36737543</v>
      </c>
    </row>
    <row r="68" customFormat="false" ht="15" hidden="false" customHeight="true" outlineLevel="0" collapsed="false">
      <c r="A68" s="4" t="s">
        <v>302</v>
      </c>
      <c r="B68" s="4" t="n">
        <v>58</v>
      </c>
      <c r="C68" s="24" t="n">
        <f aca="true">RAND()</f>
        <v>0.982595648613401</v>
      </c>
      <c r="D68" s="25" t="n">
        <f aca="false">IF(C68&lt;(($C$6-$B$6)/($D$6-$B$6)),$B$6+SQRT(C68*($D$6-$B$6)*($C$6-$B$6)),$D$6-SQRT((1-C68)*($D$6-$B$6)*($D$6-$C$6)))</f>
        <v>18.3312590908545</v>
      </c>
      <c r="E68" s="26" t="n">
        <f aca="true">MAX(0,$E$6+$F$6*_xlfn.NORM.S.INV(RAND()))</f>
        <v>18.1040442166562</v>
      </c>
      <c r="F68" s="27" t="n">
        <f aca="false">1/(1+EXP(-03_Inputs_Assumptions!$B$14*(E68-03_Inputs_Assumptions!$B$5)))</f>
        <v>0.32651519540212</v>
      </c>
      <c r="G68" s="28" t="n">
        <f aca="false">D68*04_Baseline_PnL!$B$15*F68*04_Baseline_PnL!$B$14</f>
        <v>1711532.5945145</v>
      </c>
      <c r="H68" s="28" t="n">
        <f aca="false">D68*03_Inputs_Assumptions!$B$13*01_Macro_Data!$B$97*($G$6-1)+D68*04_Baseline_PnL!$B$15*04_Baseline_PnL!$B$13*03_Inputs_Assumptions!$B$15*($H$6-1)</f>
        <v>2239522.59062606</v>
      </c>
      <c r="I68" s="16" t="n">
        <f aca="false">G68+H68</f>
        <v>3951055.18514056</v>
      </c>
    </row>
    <row r="69" customFormat="false" ht="15" hidden="false" customHeight="true" outlineLevel="0" collapsed="false">
      <c r="A69" s="4" t="s">
        <v>302</v>
      </c>
      <c r="B69" s="4" t="n">
        <v>59</v>
      </c>
      <c r="C69" s="24" t="n">
        <f aca="true">RAND()</f>
        <v>0.541843629171431</v>
      </c>
      <c r="D69" s="25" t="n">
        <f aca="false">IF(C69&lt;(($C$6-$B$6)/($D$6-$B$6)),$B$6+SQRT(C69*($D$6-$B$6)*($C$6-$B$6)),$D$6-SQRT((1-C69)*($D$6-$B$6)*($D$6-$C$6)))</f>
        <v>11.4381649553048</v>
      </c>
      <c r="E69" s="26" t="n">
        <f aca="true">MAX(0,$E$6+$F$6*_xlfn.NORM.S.INV(RAND()))</f>
        <v>17.7865865812149</v>
      </c>
      <c r="F69" s="27" t="n">
        <f aca="false">1/(1+EXP(-03_Inputs_Assumptions!$B$14*(E69-03_Inputs_Assumptions!$B$5)))</f>
        <v>0.309308661134265</v>
      </c>
      <c r="G69" s="28" t="n">
        <f aca="false">D69*04_Baseline_PnL!$B$15*F69*04_Baseline_PnL!$B$14</f>
        <v>1011667.77803409</v>
      </c>
      <c r="H69" s="28" t="n">
        <f aca="false">D69*03_Inputs_Assumptions!$B$13*01_Macro_Data!$B$97*($G$6-1)+D69*04_Baseline_PnL!$B$15*04_Baseline_PnL!$B$13*03_Inputs_Assumptions!$B$15*($H$6-1)</f>
        <v>1397396.0373236</v>
      </c>
      <c r="I69" s="16" t="n">
        <f aca="false">G69+H69</f>
        <v>2409063.81535769</v>
      </c>
    </row>
    <row r="70" customFormat="false" ht="15" hidden="false" customHeight="true" outlineLevel="0" collapsed="false">
      <c r="A70" s="4" t="s">
        <v>302</v>
      </c>
      <c r="B70" s="4" t="n">
        <v>60</v>
      </c>
      <c r="C70" s="24" t="n">
        <f aca="true">RAND()</f>
        <v>0.483974765273351</v>
      </c>
      <c r="D70" s="25" t="n">
        <f aca="false">IF(C70&lt;(($C$6-$B$6)/($D$6-$B$6)),$B$6+SQRT(C70*($D$6-$B$6)*($C$6-$B$6)),$D$6-SQRT((1-C70)*($D$6-$B$6)*($D$6-$C$6)))</f>
        <v>10.9135244700564</v>
      </c>
      <c r="E70" s="26" t="n">
        <f aca="true">MAX(0,$E$6+$F$6*_xlfn.NORM.S.INV(RAND()))</f>
        <v>10.1236453504159</v>
      </c>
      <c r="F70" s="27" t="n">
        <f aca="false">1/(1+EXP(-03_Inputs_Assumptions!$B$14*(E70-03_Inputs_Assumptions!$B$5)))</f>
        <v>0.0618563301862481</v>
      </c>
      <c r="G70" s="28" t="n">
        <f aca="false">D70*04_Baseline_PnL!$B$15*F70*04_Baseline_PnL!$B$14</f>
        <v>193036.154966568</v>
      </c>
      <c r="H70" s="28" t="n">
        <f aca="false">D70*03_Inputs_Assumptions!$B$13*01_Macro_Data!$B$97*($G$6-1)+D70*04_Baseline_PnL!$B$15*04_Baseline_PnL!$B$13*03_Inputs_Assumptions!$B$15*($H$6-1)</f>
        <v>1333300.919097</v>
      </c>
      <c r="I70" s="16" t="n">
        <f aca="false">G70+H70</f>
        <v>1526337.07406357</v>
      </c>
    </row>
    <row r="71" customFormat="false" ht="15" hidden="false" customHeight="true" outlineLevel="0" collapsed="false">
      <c r="A71" s="4" t="s">
        <v>302</v>
      </c>
      <c r="B71" s="4" t="n">
        <v>61</v>
      </c>
      <c r="C71" s="24" t="n">
        <f aca="true">RAND()</f>
        <v>0.0429612433790301</v>
      </c>
      <c r="D71" s="25" t="n">
        <f aca="false">IF(C71&lt;(($C$6-$B$6)/($D$6-$B$6)),$B$6+SQRT(C71*($D$6-$B$6)*($C$6-$B$6)),$D$6-SQRT((1-C71)*($D$6-$B$6)*($D$6-$C$6)))</f>
        <v>6.03083218518589</v>
      </c>
      <c r="E71" s="26" t="n">
        <f aca="true">MAX(0,$E$6+$F$6*_xlfn.NORM.S.INV(RAND()))</f>
        <v>14.4917160665037</v>
      </c>
      <c r="F71" s="27" t="n">
        <f aca="false">1/(1+EXP(-03_Inputs_Assumptions!$B$14*(E71-03_Inputs_Assumptions!$B$5)))</f>
        <v>0.164232002322029</v>
      </c>
      <c r="G71" s="28" t="n">
        <f aca="false">D71*04_Baseline_PnL!$B$15*F71*04_Baseline_PnL!$B$14</f>
        <v>283220.387727059</v>
      </c>
      <c r="H71" s="28" t="n">
        <f aca="false">D71*03_Inputs_Assumptions!$B$13*01_Macro_Data!$B$97*($G$6-1)+D71*04_Baseline_PnL!$B$15*04_Baseline_PnL!$B$13*03_Inputs_Assumptions!$B$15*($H$6-1)</f>
        <v>736784.355731286</v>
      </c>
      <c r="I71" s="16" t="n">
        <f aca="false">G71+H71</f>
        <v>1020004.74345834</v>
      </c>
    </row>
    <row r="72" customFormat="false" ht="15" hidden="false" customHeight="true" outlineLevel="0" collapsed="false">
      <c r="A72" s="4" t="s">
        <v>302</v>
      </c>
      <c r="B72" s="4" t="n">
        <v>62</v>
      </c>
      <c r="C72" s="24" t="n">
        <f aca="true">RAND()</f>
        <v>0.428561888319467</v>
      </c>
      <c r="D72" s="25" t="n">
        <f aca="false">IF(C72&lt;(($C$6-$B$6)/($D$6-$B$6)),$B$6+SQRT(C72*($D$6-$B$6)*($C$6-$B$6)),$D$6-SQRT((1-C72)*($D$6-$B$6)*($D$6-$C$6)))</f>
        <v>10.4380913061834</v>
      </c>
      <c r="E72" s="26" t="n">
        <f aca="true">MAX(0,$E$6+$F$6*_xlfn.NORM.S.INV(RAND()))</f>
        <v>13.8582391221761</v>
      </c>
      <c r="F72" s="27" t="n">
        <f aca="false">1/(1+EXP(-03_Inputs_Assumptions!$B$14*(E72-03_Inputs_Assumptions!$B$5)))</f>
        <v>0.143632676244597</v>
      </c>
      <c r="G72" s="28" t="n">
        <f aca="false">D72*04_Baseline_PnL!$B$15*F72*04_Baseline_PnL!$B$14</f>
        <v>428710.208694049</v>
      </c>
      <c r="H72" s="28" t="n">
        <f aca="false">D72*03_Inputs_Assumptions!$B$13*01_Macro_Data!$B$97*($G$6-1)+D72*04_Baseline_PnL!$B$15*04_Baseline_PnL!$B$13*03_Inputs_Assumptions!$B$15*($H$6-1)</f>
        <v>1275217.43963991</v>
      </c>
      <c r="I72" s="16" t="n">
        <f aca="false">G72+H72</f>
        <v>1703927.64833395</v>
      </c>
    </row>
    <row r="73" customFormat="false" ht="15" hidden="false" customHeight="true" outlineLevel="0" collapsed="false">
      <c r="A73" s="4" t="s">
        <v>302</v>
      </c>
      <c r="B73" s="4" t="n">
        <v>63</v>
      </c>
      <c r="C73" s="24" t="n">
        <f aca="true">RAND()</f>
        <v>0.218623546620719</v>
      </c>
      <c r="D73" s="25" t="n">
        <f aca="false">IF(C73&lt;(($C$6-$B$6)/($D$6-$B$6)),$B$6+SQRT(C73*($D$6-$B$6)*($C$6-$B$6)),$D$6-SQRT((1-C73)*($D$6-$B$6)*($D$6-$C$6)))</f>
        <v>8.58125097277905</v>
      </c>
      <c r="E73" s="26" t="n">
        <f aca="true">MAX(0,$E$6+$F$6*_xlfn.NORM.S.INV(RAND()))</f>
        <v>11.7730235469576</v>
      </c>
      <c r="F73" s="27" t="n">
        <f aca="false">1/(1+EXP(-03_Inputs_Assumptions!$B$14*(E73-03_Inputs_Assumptions!$B$5)))</f>
        <v>0.0905659545387056</v>
      </c>
      <c r="G73" s="28" t="n">
        <f aca="false">D73*04_Baseline_PnL!$B$15*F73*04_Baseline_PnL!$B$14</f>
        <v>222231.21151962</v>
      </c>
      <c r="H73" s="28" t="n">
        <f aca="false">D73*03_Inputs_Assumptions!$B$13*01_Macro_Data!$B$97*($G$6-1)+D73*04_Baseline_PnL!$B$15*04_Baseline_PnL!$B$13*03_Inputs_Assumptions!$B$15*($H$6-1)</f>
        <v>1048367.99884403</v>
      </c>
      <c r="I73" s="16" t="n">
        <f aca="false">G73+H73</f>
        <v>1270599.21036365</v>
      </c>
    </row>
    <row r="74" customFormat="false" ht="15" hidden="false" customHeight="true" outlineLevel="0" collapsed="false">
      <c r="A74" s="4" t="s">
        <v>302</v>
      </c>
      <c r="B74" s="4" t="n">
        <v>64</v>
      </c>
      <c r="C74" s="24" t="n">
        <f aca="true">RAND()</f>
        <v>0.00419263545837777</v>
      </c>
      <c r="D74" s="25" t="n">
        <f aca="false">IF(C74&lt;(($C$6-$B$6)/($D$6-$B$6)),$B$6+SQRT(C74*($D$6-$B$6)*($C$6-$B$6)),$D$6-SQRT((1-C74)*($D$6-$B$6)*($D$6-$C$6)))</f>
        <v>4.63442336338148</v>
      </c>
      <c r="E74" s="26" t="n">
        <f aca="true">MAX(0,$E$6+$F$6*_xlfn.NORM.S.INV(RAND()))</f>
        <v>15.1951513970002</v>
      </c>
      <c r="F74" s="27" t="n">
        <f aca="false">1/(1+EXP(-03_Inputs_Assumptions!$B$14*(E74-03_Inputs_Assumptions!$B$5)))</f>
        <v>0.189815084933851</v>
      </c>
      <c r="G74" s="28" t="n">
        <f aca="false">D74*04_Baseline_PnL!$B$15*F74*04_Baseline_PnL!$B$14</f>
        <v>251545.127733995</v>
      </c>
      <c r="H74" s="28" t="n">
        <f aca="false">D74*03_Inputs_Assumptions!$B$13*01_Macro_Data!$B$97*($G$6-1)+D74*04_Baseline_PnL!$B$15*04_Baseline_PnL!$B$13*03_Inputs_Assumptions!$B$15*($H$6-1)</f>
        <v>566185.64853497</v>
      </c>
      <c r="I74" s="16" t="n">
        <f aca="false">G74+H74</f>
        <v>817730.776268965</v>
      </c>
    </row>
    <row r="75" customFormat="false" ht="15" hidden="false" customHeight="true" outlineLevel="0" collapsed="false">
      <c r="A75" s="4" t="s">
        <v>302</v>
      </c>
      <c r="B75" s="4" t="n">
        <v>65</v>
      </c>
      <c r="C75" s="24" t="n">
        <f aca="true">RAND()</f>
        <v>0.167253449699516</v>
      </c>
      <c r="D75" s="25" t="n">
        <f aca="false">IF(C75&lt;(($C$6-$B$6)/($D$6-$B$6)),$B$6+SQRT(C75*($D$6-$B$6)*($C$6-$B$6)),$D$6-SQRT((1-C75)*($D$6-$B$6)*($D$6-$C$6)))</f>
        <v>8.00703520962239</v>
      </c>
      <c r="E75" s="26" t="n">
        <f aca="true">MAX(0,$E$6+$F$6*_xlfn.NORM.S.INV(RAND()))</f>
        <v>19.215885326363</v>
      </c>
      <c r="F75" s="27" t="n">
        <f aca="false">1/(1+EXP(-03_Inputs_Assumptions!$B$14*(E75-03_Inputs_Assumptions!$B$5)))</f>
        <v>0.390305399535599</v>
      </c>
      <c r="G75" s="28" t="n">
        <f aca="false">D75*04_Baseline_PnL!$B$15*F75*04_Baseline_PnL!$B$14</f>
        <v>893646.541433087</v>
      </c>
      <c r="H75" s="28" t="n">
        <f aca="false">D75*03_Inputs_Assumptions!$B$13*01_Macro_Data!$B$97*($G$6-1)+D75*04_Baseline_PnL!$B$15*04_Baseline_PnL!$B$13*03_Inputs_Assumptions!$B$15*($H$6-1)</f>
        <v>978216.288745483</v>
      </c>
      <c r="I75" s="16" t="n">
        <f aca="false">G75+H75</f>
        <v>1871862.83017857</v>
      </c>
    </row>
    <row r="76" customFormat="false" ht="15" hidden="false" customHeight="true" outlineLevel="0" collapsed="false">
      <c r="A76" s="4" t="s">
        <v>302</v>
      </c>
      <c r="B76" s="4" t="n">
        <v>66</v>
      </c>
      <c r="C76" s="24" t="n">
        <f aca="true">RAND()</f>
        <v>0.901994945756553</v>
      </c>
      <c r="D76" s="25" t="n">
        <f aca="false">IF(C76&lt;(($C$6-$B$6)/($D$6-$B$6)),$B$6+SQRT(C76*($D$6-$B$6)*($C$6-$B$6)),$D$6-SQRT((1-C76)*($D$6-$B$6)*($D$6-$C$6)))</f>
        <v>16.0400999155343</v>
      </c>
      <c r="E76" s="26" t="n">
        <f aca="true">MAX(0,$E$6+$F$6*_xlfn.NORM.S.INV(RAND()))</f>
        <v>17.9572546850384</v>
      </c>
      <c r="F76" s="27" t="n">
        <f aca="false">1/(1+EXP(-03_Inputs_Assumptions!$B$14*(E76-03_Inputs_Assumptions!$B$5)))</f>
        <v>0.318497275363614</v>
      </c>
      <c r="G76" s="28" t="n">
        <f aca="false">D76*04_Baseline_PnL!$B$15*F76*04_Baseline_PnL!$B$14</f>
        <v>1460838.72155332</v>
      </c>
      <c r="H76" s="28" t="n">
        <f aca="false">D76*03_Inputs_Assumptions!$B$13*01_Macro_Data!$B$97*($G$6-1)+D76*04_Baseline_PnL!$B$15*04_Baseline_PnL!$B$13*03_Inputs_Assumptions!$B$15*($H$6-1)</f>
        <v>1959612.59064086</v>
      </c>
      <c r="I76" s="16" t="n">
        <f aca="false">G76+H76</f>
        <v>3420451.31219418</v>
      </c>
    </row>
    <row r="77" customFormat="false" ht="15" hidden="false" customHeight="true" outlineLevel="0" collapsed="false">
      <c r="A77" s="4" t="s">
        <v>302</v>
      </c>
      <c r="B77" s="4" t="n">
        <v>67</v>
      </c>
      <c r="C77" s="24" t="n">
        <f aca="true">RAND()</f>
        <v>0.988591235825102</v>
      </c>
      <c r="D77" s="25" t="n">
        <f aca="false">IF(C77&lt;(($C$6-$B$6)/($D$6-$B$6)),$B$6+SQRT(C77*($D$6-$B$6)*($C$6-$B$6)),$D$6-SQRT((1-C77)*($D$6-$B$6)*($D$6-$C$6)))</f>
        <v>18.6489255135324</v>
      </c>
      <c r="E77" s="26" t="n">
        <f aca="true">MAX(0,$E$6+$F$6*_xlfn.NORM.S.INV(RAND()))</f>
        <v>10.1587134146674</v>
      </c>
      <c r="F77" s="27" t="n">
        <f aca="false">1/(1+EXP(-03_Inputs_Assumptions!$B$14*(E77-03_Inputs_Assumptions!$B$5)))</f>
        <v>0.0623670396934409</v>
      </c>
      <c r="G77" s="28" t="n">
        <f aca="false">D77*04_Baseline_PnL!$B$15*F77*04_Baseline_PnL!$B$14</f>
        <v>332581.759006897</v>
      </c>
      <c r="H77" s="28" t="n">
        <f aca="false">D77*03_Inputs_Assumptions!$B$13*01_Macro_Data!$B$97*($G$6-1)+D77*04_Baseline_PnL!$B$15*04_Baseline_PnL!$B$13*03_Inputs_Assumptions!$B$15*($H$6-1)</f>
        <v>2278331.77041805</v>
      </c>
      <c r="I77" s="16" t="n">
        <f aca="false">G77+H77</f>
        <v>2610913.52942495</v>
      </c>
    </row>
    <row r="78" customFormat="false" ht="15" hidden="false" customHeight="true" outlineLevel="0" collapsed="false">
      <c r="A78" s="4" t="s">
        <v>302</v>
      </c>
      <c r="B78" s="4" t="n">
        <v>68</v>
      </c>
      <c r="C78" s="24" t="n">
        <f aca="true">RAND()</f>
        <v>0.852634362531579</v>
      </c>
      <c r="D78" s="25" t="n">
        <f aca="false">IF(C78&lt;(($C$6-$B$6)/($D$6-$B$6)),$B$6+SQRT(C78*($D$6-$B$6)*($C$6-$B$6)),$D$6-SQRT((1-C78)*($D$6-$B$6)*($D$6-$C$6)))</f>
        <v>15.1442300306803</v>
      </c>
      <c r="E78" s="26" t="n">
        <f aca="true">MAX(0,$E$6+$F$6*_xlfn.NORM.S.INV(RAND()))</f>
        <v>13.7659763326846</v>
      </c>
      <c r="F78" s="27" t="n">
        <f aca="false">1/(1+EXP(-03_Inputs_Assumptions!$B$14*(E78-03_Inputs_Assumptions!$B$5)))</f>
        <v>0.140818796168179</v>
      </c>
      <c r="G78" s="28" t="n">
        <f aca="false">D78*04_Baseline_PnL!$B$15*F78*04_Baseline_PnL!$B$14</f>
        <v>609813.881490199</v>
      </c>
      <c r="H78" s="28" t="n">
        <f aca="false">D78*03_Inputs_Assumptions!$B$13*01_Macro_Data!$B$97*($G$6-1)+D78*04_Baseline_PnL!$B$15*04_Baseline_PnL!$B$13*03_Inputs_Assumptions!$B$15*($H$6-1)</f>
        <v>1850164.5251562</v>
      </c>
      <c r="I78" s="16" t="n">
        <f aca="false">G78+H78</f>
        <v>2459978.40664639</v>
      </c>
    </row>
    <row r="79" customFormat="false" ht="15" hidden="false" customHeight="true" outlineLevel="0" collapsed="false">
      <c r="A79" s="4" t="s">
        <v>302</v>
      </c>
      <c r="B79" s="4" t="n">
        <v>69</v>
      </c>
      <c r="C79" s="24" t="n">
        <f aca="true">RAND()</f>
        <v>0.349197240881978</v>
      </c>
      <c r="D79" s="25" t="n">
        <f aca="false">IF(C79&lt;(($C$6-$B$6)/($D$6-$B$6)),$B$6+SQRT(C79*($D$6-$B$6)*($C$6-$B$6)),$D$6-SQRT((1-C79)*($D$6-$B$6)*($D$6-$C$6)))</f>
        <v>9.78989940540161</v>
      </c>
      <c r="E79" s="26" t="n">
        <f aca="true">MAX(0,$E$6+$F$6*_xlfn.NORM.S.INV(RAND()))</f>
        <v>8.57356949764089</v>
      </c>
      <c r="F79" s="27" t="n">
        <f aca="false">1/(1+EXP(-03_Inputs_Assumptions!$B$14*(E79-03_Inputs_Assumptions!$B$5)))</f>
        <v>0.0428355182195794</v>
      </c>
      <c r="G79" s="28" t="n">
        <f aca="false">D79*04_Baseline_PnL!$B$15*F79*04_Baseline_PnL!$B$14</f>
        <v>119914.509643846</v>
      </c>
      <c r="H79" s="28" t="n">
        <f aca="false">D79*03_Inputs_Assumptions!$B$13*01_Macro_Data!$B$97*($G$6-1)+D79*04_Baseline_PnL!$B$15*04_Baseline_PnL!$B$13*03_Inputs_Assumptions!$B$15*($H$6-1)</f>
        <v>1196028.09439815</v>
      </c>
      <c r="I79" s="16" t="n">
        <f aca="false">G79+H79</f>
        <v>1315942.604042</v>
      </c>
    </row>
    <row r="80" customFormat="false" ht="15" hidden="false" customHeight="true" outlineLevel="0" collapsed="false">
      <c r="A80" s="4" t="s">
        <v>302</v>
      </c>
      <c r="B80" s="4" t="n">
        <v>70</v>
      </c>
      <c r="C80" s="24" t="n">
        <f aca="true">RAND()</f>
        <v>0.442508558295704</v>
      </c>
      <c r="D80" s="25" t="n">
        <f aca="false">IF(C80&lt;(($C$6-$B$6)/($D$6-$B$6)),$B$6+SQRT(C80*($D$6-$B$6)*($C$6-$B$6)),$D$6-SQRT((1-C80)*($D$6-$B$6)*($D$6-$C$6)))</f>
        <v>10.5554973305797</v>
      </c>
      <c r="E80" s="26" t="n">
        <f aca="true">MAX(0,$E$6+$F$6*_xlfn.NORM.S.INV(RAND()))</f>
        <v>11.9308445859285</v>
      </c>
      <c r="F80" s="27" t="n">
        <f aca="false">1/(1+EXP(-03_Inputs_Assumptions!$B$14*(E80-03_Inputs_Assumptions!$B$5)))</f>
        <v>0.0938685611396144</v>
      </c>
      <c r="G80" s="28" t="n">
        <f aca="false">D80*04_Baseline_PnL!$B$15*F80*04_Baseline_PnL!$B$14</f>
        <v>283327.247402238</v>
      </c>
      <c r="H80" s="28" t="n">
        <f aca="false">D80*03_Inputs_Assumptions!$B$13*01_Macro_Data!$B$97*($G$6-1)+D80*04_Baseline_PnL!$B$15*04_Baseline_PnL!$B$13*03_Inputs_Assumptions!$B$15*($H$6-1)</f>
        <v>1289560.88667799</v>
      </c>
      <c r="I80" s="16" t="n">
        <f aca="false">G80+H80</f>
        <v>1572888.13408023</v>
      </c>
    </row>
    <row r="81" customFormat="false" ht="15" hidden="false" customHeight="true" outlineLevel="0" collapsed="false">
      <c r="A81" s="4" t="s">
        <v>302</v>
      </c>
      <c r="B81" s="4" t="n">
        <v>71</v>
      </c>
      <c r="C81" s="24" t="n">
        <f aca="true">RAND()</f>
        <v>0.779043636783517</v>
      </c>
      <c r="D81" s="25" t="n">
        <f aca="false">IF(C81&lt;(($C$6-$B$6)/($D$6-$B$6)),$B$6+SQRT(C81*($D$6-$B$6)*($C$6-$B$6)),$D$6-SQRT((1-C81)*($D$6-$B$6)*($D$6-$C$6)))</f>
        <v>14.0541595955965</v>
      </c>
      <c r="E81" s="26" t="n">
        <f aca="true">MAX(0,$E$6+$F$6*_xlfn.NORM.S.INV(RAND()))</f>
        <v>17.4484453957011</v>
      </c>
      <c r="F81" s="27" t="n">
        <f aca="false">1/(1+EXP(-03_Inputs_Assumptions!$B$14*(E81-03_Inputs_Assumptions!$B$5)))</f>
        <v>0.291545727822447</v>
      </c>
      <c r="G81" s="28" t="n">
        <f aca="false">D81*04_Baseline_PnL!$B$15*F81*04_Baseline_PnL!$B$14</f>
        <v>1171658.49065194</v>
      </c>
      <c r="H81" s="28" t="n">
        <f aca="false">D81*03_Inputs_Assumptions!$B$13*01_Macro_Data!$B$97*($G$6-1)+D81*04_Baseline_PnL!$B$15*04_Baseline_PnL!$B$13*03_Inputs_Assumptions!$B$15*($H$6-1)</f>
        <v>1716991.05613019</v>
      </c>
      <c r="I81" s="16" t="n">
        <f aca="false">G81+H81</f>
        <v>2888649.54678212</v>
      </c>
    </row>
    <row r="82" customFormat="false" ht="15" hidden="false" customHeight="true" outlineLevel="0" collapsed="false">
      <c r="A82" s="4" t="s">
        <v>302</v>
      </c>
      <c r="B82" s="4" t="n">
        <v>72</v>
      </c>
      <c r="C82" s="24" t="n">
        <f aca="true">RAND()</f>
        <v>0.0871353004178462</v>
      </c>
      <c r="D82" s="25" t="n">
        <f aca="false">IF(C82&lt;(($C$6-$B$6)/($D$6-$B$6)),$B$6+SQRT(C82*($D$6-$B$6)*($C$6-$B$6)),$D$6-SQRT((1-C82)*($D$6-$B$6)*($D$6-$C$6)))</f>
        <v>6.89222904350835</v>
      </c>
      <c r="E82" s="26" t="n">
        <f aca="true">MAX(0,$E$6+$F$6*_xlfn.NORM.S.INV(RAND()))</f>
        <v>10.2128515386767</v>
      </c>
      <c r="F82" s="27" t="n">
        <f aca="false">1/(1+EXP(-03_Inputs_Assumptions!$B$14*(E82-03_Inputs_Assumptions!$B$5)))</f>
        <v>0.0631632074418918</v>
      </c>
      <c r="G82" s="28" t="n">
        <f aca="false">D82*04_Baseline_PnL!$B$15*F82*04_Baseline_PnL!$B$14</f>
        <v>124483.949371207</v>
      </c>
      <c r="H82" s="28" t="n">
        <f aca="false">D82*03_Inputs_Assumptions!$B$13*01_Macro_Data!$B$97*($G$6-1)+D82*04_Baseline_PnL!$B$15*04_Baseline_PnL!$B$13*03_Inputs_Assumptions!$B$15*($H$6-1)</f>
        <v>842020.865353798</v>
      </c>
      <c r="I82" s="16" t="n">
        <f aca="false">G82+H82</f>
        <v>966504.814725004</v>
      </c>
    </row>
    <row r="83" customFormat="false" ht="15" hidden="false" customHeight="true" outlineLevel="0" collapsed="false">
      <c r="A83" s="4" t="s">
        <v>302</v>
      </c>
      <c r="B83" s="4" t="n">
        <v>73</v>
      </c>
      <c r="C83" s="24" t="n">
        <f aca="true">RAND()</f>
        <v>0.473445569805818</v>
      </c>
      <c r="D83" s="25" t="n">
        <f aca="false">IF(C83&lt;(($C$6-$B$6)/($D$6-$B$6)),$B$6+SQRT(C83*($D$6-$B$6)*($C$6-$B$6)),$D$6-SQRT((1-C83)*($D$6-$B$6)*($D$6-$C$6)))</f>
        <v>10.82129045938</v>
      </c>
      <c r="E83" s="26" t="n">
        <f aca="true">MAX(0,$E$6+$F$6*_xlfn.NORM.S.INV(RAND()))</f>
        <v>15.9386875952061</v>
      </c>
      <c r="F83" s="27" t="n">
        <f aca="false">1/(1+EXP(-03_Inputs_Assumptions!$B$14*(E83-03_Inputs_Assumptions!$B$5)))</f>
        <v>0.220058052995992</v>
      </c>
      <c r="G83" s="28" t="n">
        <f aca="false">D83*04_Baseline_PnL!$B$15*F83*04_Baseline_PnL!$B$14</f>
        <v>680935.226152029</v>
      </c>
      <c r="H83" s="28" t="n">
        <f aca="false">D83*03_Inputs_Assumptions!$B$13*01_Macro_Data!$B$97*($G$6-1)+D83*04_Baseline_PnL!$B$15*04_Baseline_PnL!$B$13*03_Inputs_Assumptions!$B$15*($H$6-1)</f>
        <v>1322032.72690627</v>
      </c>
      <c r="I83" s="16" t="n">
        <f aca="false">G83+H83</f>
        <v>2002967.9530583</v>
      </c>
    </row>
    <row r="84" customFormat="false" ht="15" hidden="false" customHeight="true" outlineLevel="0" collapsed="false">
      <c r="A84" s="4" t="s">
        <v>302</v>
      </c>
      <c r="B84" s="4" t="n">
        <v>74</v>
      </c>
      <c r="C84" s="24" t="n">
        <f aca="true">RAND()</f>
        <v>0.341518030183623</v>
      </c>
      <c r="D84" s="25" t="n">
        <f aca="false">IF(C84&lt;(($C$6-$B$6)/($D$6-$B$6)),$B$6+SQRT(C84*($D$6-$B$6)*($C$6-$B$6)),$D$6-SQRT((1-C84)*($D$6-$B$6)*($D$6-$C$6)))</f>
        <v>9.72588254312187</v>
      </c>
      <c r="E84" s="26" t="n">
        <f aca="true">MAX(0,$E$6+$F$6*_xlfn.NORM.S.INV(RAND()))</f>
        <v>7.62118069773022</v>
      </c>
      <c r="F84" s="27" t="n">
        <f aca="false">1/(1+EXP(-03_Inputs_Assumptions!$B$14*(E84-03_Inputs_Assumptions!$B$5)))</f>
        <v>0.0340689900490528</v>
      </c>
      <c r="G84" s="28" t="n">
        <f aca="false">D84*04_Baseline_PnL!$B$15*F84*04_Baseline_PnL!$B$14</f>
        <v>94749.6820012313</v>
      </c>
      <c r="H84" s="28" t="n">
        <f aca="false">D84*03_Inputs_Assumptions!$B$13*01_Macro_Data!$B$97*($G$6-1)+D84*04_Baseline_PnL!$B$15*04_Baseline_PnL!$B$13*03_Inputs_Assumptions!$B$15*($H$6-1)</f>
        <v>1188207.17994018</v>
      </c>
      <c r="I84" s="16" t="n">
        <f aca="false">G84+H84</f>
        <v>1282956.86194141</v>
      </c>
    </row>
    <row r="85" customFormat="false" ht="15" hidden="false" customHeight="true" outlineLevel="0" collapsed="false">
      <c r="A85" s="4" t="s">
        <v>302</v>
      </c>
      <c r="B85" s="4" t="n">
        <v>75</v>
      </c>
      <c r="C85" s="24" t="n">
        <f aca="true">RAND()</f>
        <v>0.541265029474569</v>
      </c>
      <c r="D85" s="25" t="n">
        <f aca="false">IF(C85&lt;(($C$6-$B$6)/($D$6-$B$6)),$B$6+SQRT(C85*($D$6-$B$6)*($C$6-$B$6)),$D$6-SQRT((1-C85)*($D$6-$B$6)*($D$6-$C$6)))</f>
        <v>11.4327603462919</v>
      </c>
      <c r="E85" s="26" t="n">
        <f aca="true">MAX(0,$E$6+$F$6*_xlfn.NORM.S.INV(RAND()))</f>
        <v>13.8111439045353</v>
      </c>
      <c r="F85" s="27" t="n">
        <f aca="false">1/(1+EXP(-03_Inputs_Assumptions!$B$14*(E85-03_Inputs_Assumptions!$B$5)))</f>
        <v>0.142190538442536</v>
      </c>
      <c r="G85" s="28" t="n">
        <f aca="false">D85*04_Baseline_PnL!$B$15*F85*04_Baseline_PnL!$B$14</f>
        <v>464848.335220386</v>
      </c>
      <c r="H85" s="28" t="n">
        <f aca="false">D85*03_Inputs_Assumptions!$B$13*01_Macro_Data!$B$97*($G$6-1)+D85*04_Baseline_PnL!$B$15*04_Baseline_PnL!$B$13*03_Inputs_Assumptions!$B$15*($H$6-1)</f>
        <v>1396735.75840234</v>
      </c>
      <c r="I85" s="16" t="n">
        <f aca="false">G85+H85</f>
        <v>1861584.09362273</v>
      </c>
    </row>
    <row r="86" customFormat="false" ht="15" hidden="false" customHeight="true" outlineLevel="0" collapsed="false">
      <c r="A86" s="4" t="s">
        <v>302</v>
      </c>
      <c r="B86" s="4" t="n">
        <v>76</v>
      </c>
      <c r="C86" s="24" t="n">
        <f aca="true">RAND()</f>
        <v>0.981496770636537</v>
      </c>
      <c r="D86" s="25" t="n">
        <f aca="false">IF(C86&lt;(($C$6-$B$6)/($D$6-$B$6)),$B$6+SQRT(C86*($D$6-$B$6)*($C$6-$B$6)),$D$6-SQRT((1-C86)*($D$6-$B$6)*($D$6-$C$6)))</f>
        <v>18.2793847907931</v>
      </c>
      <c r="E86" s="26" t="n">
        <f aca="true">MAX(0,$E$6+$F$6*_xlfn.NORM.S.INV(RAND()))</f>
        <v>10.3469785952015</v>
      </c>
      <c r="F86" s="27" t="n">
        <f aca="false">1/(1+EXP(-03_Inputs_Assumptions!$B$14*(E86-03_Inputs_Assumptions!$B$5)))</f>
        <v>0.065176708113979</v>
      </c>
      <c r="G86" s="28" t="n">
        <f aca="false">D86*04_Baseline_PnL!$B$15*F86*04_Baseline_PnL!$B$14</f>
        <v>340677.520755001</v>
      </c>
      <c r="H86" s="28" t="n">
        <f aca="false">D86*03_Inputs_Assumptions!$B$13*01_Macro_Data!$B$97*($G$6-1)+D86*04_Baseline_PnL!$B$15*04_Baseline_PnL!$B$13*03_Inputs_Assumptions!$B$15*($H$6-1)</f>
        <v>2233185.12813728</v>
      </c>
      <c r="I86" s="16" t="n">
        <f aca="false">G86+H86</f>
        <v>2573862.64889228</v>
      </c>
    </row>
    <row r="87" customFormat="false" ht="15" hidden="false" customHeight="true" outlineLevel="0" collapsed="false">
      <c r="A87" s="4" t="s">
        <v>302</v>
      </c>
      <c r="B87" s="4" t="n">
        <v>77</v>
      </c>
      <c r="C87" s="24" t="n">
        <f aca="true">RAND()</f>
        <v>0.123434889322271</v>
      </c>
      <c r="D87" s="25" t="n">
        <f aca="false">IF(C87&lt;(($C$6-$B$6)/($D$6-$B$6)),$B$6+SQRT(C87*($D$6-$B$6)*($C$6-$B$6)),$D$6-SQRT((1-C87)*($D$6-$B$6)*($D$6-$C$6)))</f>
        <v>7.44234649257422</v>
      </c>
      <c r="E87" s="26" t="n">
        <f aca="true">MAX(0,$E$6+$F$6*_xlfn.NORM.S.INV(RAND()))</f>
        <v>12.9228828319237</v>
      </c>
      <c r="F87" s="27" t="n">
        <f aca="false">1/(1+EXP(-03_Inputs_Assumptions!$B$14*(E87-03_Inputs_Assumptions!$B$5)))</f>
        <v>0.117193534184827</v>
      </c>
      <c r="G87" s="28" t="n">
        <f aca="false">D87*04_Baseline_PnL!$B$15*F87*04_Baseline_PnL!$B$14</f>
        <v>249403.772411403</v>
      </c>
      <c r="H87" s="28" t="n">
        <f aca="false">D87*03_Inputs_Assumptions!$B$13*01_Macro_Data!$B$97*($G$6-1)+D87*04_Baseline_PnL!$B$15*04_Baseline_PnL!$B$13*03_Inputs_Assumptions!$B$15*($H$6-1)</f>
        <v>909228.494059196</v>
      </c>
      <c r="I87" s="16" t="n">
        <f aca="false">G87+H87</f>
        <v>1158632.2664706</v>
      </c>
    </row>
    <row r="88" customFormat="false" ht="15" hidden="false" customHeight="true" outlineLevel="0" collapsed="false">
      <c r="A88" s="4" t="s">
        <v>302</v>
      </c>
      <c r="B88" s="4" t="n">
        <v>78</v>
      </c>
      <c r="C88" s="24" t="n">
        <f aca="true">RAND()</f>
        <v>0.44062732265854</v>
      </c>
      <c r="D88" s="25" t="n">
        <f aca="false">IF(C88&lt;(($C$6-$B$6)/($D$6-$B$6)),$B$6+SQRT(C88*($D$6-$B$6)*($C$6-$B$6)),$D$6-SQRT((1-C88)*($D$6-$B$6)*($D$6-$C$6)))</f>
        <v>10.5395756768191</v>
      </c>
      <c r="E88" s="26" t="n">
        <f aca="true">MAX(0,$E$6+$F$6*_xlfn.NORM.S.INV(RAND()))</f>
        <v>16.4801277966171</v>
      </c>
      <c r="F88" s="27" t="n">
        <f aca="false">1/(1+EXP(-03_Inputs_Assumptions!$B$14*(E88-03_Inputs_Assumptions!$B$5)))</f>
        <v>0.244166997056643</v>
      </c>
      <c r="G88" s="28" t="n">
        <f aca="false">D88*04_Baseline_PnL!$B$15*F88*04_Baseline_PnL!$B$14</f>
        <v>735867.410640777</v>
      </c>
      <c r="H88" s="28" t="n">
        <f aca="false">D88*03_Inputs_Assumptions!$B$13*01_Macro_Data!$B$97*($G$6-1)+D88*04_Baseline_PnL!$B$15*04_Baseline_PnL!$B$13*03_Inputs_Assumptions!$B$15*($H$6-1)</f>
        <v>1287615.74460671</v>
      </c>
      <c r="I88" s="16" t="n">
        <f aca="false">G88+H88</f>
        <v>2023483.15524749</v>
      </c>
    </row>
    <row r="89" customFormat="false" ht="15" hidden="false" customHeight="true" outlineLevel="0" collapsed="false">
      <c r="A89" s="4" t="s">
        <v>302</v>
      </c>
      <c r="B89" s="4" t="n">
        <v>79</v>
      </c>
      <c r="C89" s="24" t="n">
        <f aca="true">RAND()</f>
        <v>0.56902942745949</v>
      </c>
      <c r="D89" s="25" t="n">
        <f aca="false">IF(C89&lt;(($C$6-$B$6)/($D$6-$B$6)),$B$6+SQRT(C89*($D$6-$B$6)*($C$6-$B$6)),$D$6-SQRT((1-C89)*($D$6-$B$6)*($D$6-$C$6)))</f>
        <v>11.6960677021979</v>
      </c>
      <c r="E89" s="26" t="n">
        <f aca="true">MAX(0,$E$6+$F$6*_xlfn.NORM.S.INV(RAND()))</f>
        <v>6.03332351941903</v>
      </c>
      <c r="F89" s="27" t="n">
        <f aca="false">1/(1+EXP(-03_Inputs_Assumptions!$B$14*(E89-03_Inputs_Assumptions!$B$5)))</f>
        <v>0.0231651383599877</v>
      </c>
      <c r="G89" s="28" t="n">
        <f aca="false">D89*04_Baseline_PnL!$B$15*F89*04_Baseline_PnL!$B$14</f>
        <v>77475.4760144526</v>
      </c>
      <c r="H89" s="28" t="n">
        <f aca="false">D89*03_Inputs_Assumptions!$B$13*01_Macro_Data!$B$97*($G$6-1)+D89*04_Baseline_PnL!$B$15*04_Baseline_PnL!$B$13*03_Inputs_Assumptions!$B$15*($H$6-1)</f>
        <v>1428903.91275043</v>
      </c>
      <c r="I89" s="16" t="n">
        <f aca="false">G89+H89</f>
        <v>1506379.38876488</v>
      </c>
    </row>
    <row r="90" customFormat="false" ht="15" hidden="false" customHeight="true" outlineLevel="0" collapsed="false">
      <c r="A90" s="4" t="s">
        <v>302</v>
      </c>
      <c r="B90" s="4" t="n">
        <v>80</v>
      </c>
      <c r="C90" s="24" t="n">
        <f aca="true">RAND()</f>
        <v>0.693722401580179</v>
      </c>
      <c r="D90" s="25" t="n">
        <f aca="false">IF(C90&lt;(($C$6-$B$6)/($D$6-$B$6)),$B$6+SQRT(C90*($D$6-$B$6)*($C$6-$B$6)),$D$6-SQRT((1-C90)*($D$6-$B$6)*($D$6-$C$6)))</f>
        <v>12.9996845965934</v>
      </c>
      <c r="E90" s="26" t="n">
        <f aca="true">MAX(0,$E$6+$F$6*_xlfn.NORM.S.INV(RAND()))</f>
        <v>16.3363064342279</v>
      </c>
      <c r="F90" s="27" t="n">
        <f aca="false">1/(1+EXP(-03_Inputs_Assumptions!$B$14*(E90-03_Inputs_Assumptions!$B$5)))</f>
        <v>0.237592640724154</v>
      </c>
      <c r="G90" s="28" t="n">
        <f aca="false">D90*04_Baseline_PnL!$B$15*F90*04_Baseline_PnL!$B$14</f>
        <v>883192.314508334</v>
      </c>
      <c r="H90" s="28" t="n">
        <f aca="false">D90*03_Inputs_Assumptions!$B$13*01_Macro_Data!$B$97*($G$6-1)+D90*04_Baseline_PnL!$B$15*04_Baseline_PnL!$B$13*03_Inputs_Assumptions!$B$15*($H$6-1)</f>
        <v>1588166.26729198</v>
      </c>
      <c r="I90" s="16" t="n">
        <f aca="false">G90+H90</f>
        <v>2471358.58180031</v>
      </c>
    </row>
    <row r="91" customFormat="false" ht="15" hidden="false" customHeight="true" outlineLevel="0" collapsed="false">
      <c r="A91" s="4" t="s">
        <v>302</v>
      </c>
      <c r="B91" s="4" t="n">
        <v>81</v>
      </c>
      <c r="C91" s="24" t="n">
        <f aca="true">RAND()</f>
        <v>0.308580324155042</v>
      </c>
      <c r="D91" s="25" t="n">
        <f aca="false">IF(C91&lt;(($C$6-$B$6)/($D$6-$B$6)),$B$6+SQRT(C91*($D$6-$B$6)*($C$6-$B$6)),$D$6-SQRT((1-C91)*($D$6-$B$6)*($D$6-$C$6)))</f>
        <v>9.44276686244083</v>
      </c>
      <c r="E91" s="26" t="n">
        <f aca="true">MAX(0,$E$6+$F$6*_xlfn.NORM.S.INV(RAND()))</f>
        <v>15.0047556212428</v>
      </c>
      <c r="F91" s="27" t="n">
        <f aca="false">1/(1+EXP(-03_Inputs_Assumptions!$B$14*(E91-03_Inputs_Assumptions!$B$5)))</f>
        <v>0.18260291177006</v>
      </c>
      <c r="G91" s="28" t="n">
        <f aca="false">D91*04_Baseline_PnL!$B$15*F91*04_Baseline_PnL!$B$14</f>
        <v>493056.225826838</v>
      </c>
      <c r="H91" s="28" t="n">
        <f aca="false">D91*03_Inputs_Assumptions!$B$13*01_Macro_Data!$B$97*($G$6-1)+D91*04_Baseline_PnL!$B$15*04_Baseline_PnL!$B$13*03_Inputs_Assumptions!$B$15*($H$6-1)</f>
        <v>1153619.05047765</v>
      </c>
      <c r="I91" s="16" t="n">
        <f aca="false">G91+H91</f>
        <v>1646675.27630449</v>
      </c>
    </row>
    <row r="92" customFormat="false" ht="15" hidden="false" customHeight="true" outlineLevel="0" collapsed="false">
      <c r="A92" s="4" t="s">
        <v>302</v>
      </c>
      <c r="B92" s="4" t="n">
        <v>82</v>
      </c>
      <c r="C92" s="24" t="n">
        <f aca="true">RAND()</f>
        <v>0.540940386969896</v>
      </c>
      <c r="D92" s="25" t="n">
        <f aca="false">IF(C92&lt;(($C$6-$B$6)/($D$6-$B$6)),$B$6+SQRT(C92*($D$6-$B$6)*($C$6-$B$6)),$D$6-SQRT((1-C92)*($D$6-$B$6)*($D$6-$C$6)))</f>
        <v>11.4297294042244</v>
      </c>
      <c r="E92" s="26" t="n">
        <f aca="true">MAX(0,$E$6+$F$6*_xlfn.NORM.S.INV(RAND()))</f>
        <v>9.87654397635975</v>
      </c>
      <c r="F92" s="27" t="n">
        <f aca="false">1/(1+EXP(-03_Inputs_Assumptions!$B$14*(E92-03_Inputs_Assumptions!$B$5)))</f>
        <v>0.0583670513615801</v>
      </c>
      <c r="G92" s="28" t="n">
        <f aca="false">D92*04_Baseline_PnL!$B$15*F92*04_Baseline_PnL!$B$14</f>
        <v>190762.578358875</v>
      </c>
      <c r="H92" s="28" t="n">
        <f aca="false">D92*03_Inputs_Assumptions!$B$13*01_Macro_Data!$B$97*($G$6-1)+D92*04_Baseline_PnL!$B$15*04_Baseline_PnL!$B$13*03_Inputs_Assumptions!$B$15*($H$6-1)</f>
        <v>1396365.46942233</v>
      </c>
      <c r="I92" s="16" t="n">
        <f aca="false">G92+H92</f>
        <v>1587128.0477812</v>
      </c>
    </row>
    <row r="93" customFormat="false" ht="15" hidden="false" customHeight="true" outlineLevel="0" collapsed="false">
      <c r="A93" s="4" t="s">
        <v>302</v>
      </c>
      <c r="B93" s="4" t="n">
        <v>83</v>
      </c>
      <c r="C93" s="24" t="n">
        <f aca="true">RAND()</f>
        <v>0.357748357923989</v>
      </c>
      <c r="D93" s="25" t="n">
        <f aca="false">IF(C93&lt;(($C$6-$B$6)/($D$6-$B$6)),$B$6+SQRT(C93*($D$6-$B$6)*($C$6-$B$6)),$D$6-SQRT((1-C93)*($D$6-$B$6)*($D$6-$C$6)))</f>
        <v>9.86036196499013</v>
      </c>
      <c r="E93" s="26" t="n">
        <f aca="true">MAX(0,$E$6+$F$6*_xlfn.NORM.S.INV(RAND()))</f>
        <v>15.1356355084579</v>
      </c>
      <c r="F93" s="27" t="n">
        <f aca="false">1/(1+EXP(-03_Inputs_Assumptions!$B$14*(E93-03_Inputs_Assumptions!$B$5)))</f>
        <v>0.187537471201682</v>
      </c>
      <c r="G93" s="28" t="n">
        <f aca="false">D93*04_Baseline_PnL!$B$15*F93*04_Baseline_PnL!$B$14</f>
        <v>528774.367741305</v>
      </c>
      <c r="H93" s="28" t="n">
        <f aca="false">D93*03_Inputs_Assumptions!$B$13*01_Macro_Data!$B$97*($G$6-1)+D93*04_Baseline_PnL!$B$15*04_Baseline_PnL!$B$13*03_Inputs_Assumptions!$B$15*($H$6-1)</f>
        <v>1204636.47711806</v>
      </c>
      <c r="I93" s="16" t="n">
        <f aca="false">G93+H93</f>
        <v>1733410.84485936</v>
      </c>
    </row>
    <row r="94" customFormat="false" ht="15" hidden="false" customHeight="true" outlineLevel="0" collapsed="false">
      <c r="A94" s="4" t="s">
        <v>302</v>
      </c>
      <c r="B94" s="4" t="n">
        <v>84</v>
      </c>
      <c r="C94" s="24" t="n">
        <f aca="true">RAND()</f>
        <v>0.274946876975255</v>
      </c>
      <c r="D94" s="25" t="n">
        <f aca="false">IF(C94&lt;(($C$6-$B$6)/($D$6-$B$6)),$B$6+SQRT(C94*($D$6-$B$6)*($C$6-$B$6)),$D$6-SQRT((1-C94)*($D$6-$B$6)*($D$6-$C$6)))</f>
        <v>9.13759673287272</v>
      </c>
      <c r="E94" s="26" t="n">
        <f aca="true">MAX(0,$E$6+$F$6*_xlfn.NORM.S.INV(RAND()))</f>
        <v>12.078316956907</v>
      </c>
      <c r="F94" s="27" t="n">
        <f aca="false">1/(1+EXP(-03_Inputs_Assumptions!$B$14*(E94-03_Inputs_Assumptions!$B$5)))</f>
        <v>0.0970517623243723</v>
      </c>
      <c r="G94" s="28" t="n">
        <f aca="false">D94*04_Baseline_PnL!$B$15*F94*04_Baseline_PnL!$B$14</f>
        <v>253585.778972963</v>
      </c>
      <c r="H94" s="28" t="n">
        <f aca="false">D94*03_Inputs_Assumptions!$B$13*01_Macro_Data!$B$97*($G$6-1)+D94*04_Baseline_PnL!$B$15*04_Baseline_PnL!$B$13*03_Inputs_Assumptions!$B$15*($H$6-1)</f>
        <v>1116336.53781637</v>
      </c>
      <c r="I94" s="16" t="n">
        <f aca="false">G94+H94</f>
        <v>1369922.31678933</v>
      </c>
    </row>
    <row r="95" customFormat="false" ht="15" hidden="false" customHeight="true" outlineLevel="0" collapsed="false">
      <c r="A95" s="4" t="s">
        <v>302</v>
      </c>
      <c r="B95" s="4" t="n">
        <v>85</v>
      </c>
      <c r="C95" s="24" t="n">
        <f aca="true">RAND()</f>
        <v>0.34921319600614</v>
      </c>
      <c r="D95" s="25" t="n">
        <f aca="false">IF(C95&lt;(($C$6-$B$6)/($D$6-$B$6)),$B$6+SQRT(C95*($D$6-$B$6)*($C$6-$B$6)),$D$6-SQRT((1-C95)*($D$6-$B$6)*($D$6-$C$6)))</f>
        <v>9.79003167664819</v>
      </c>
      <c r="E95" s="26" t="n">
        <f aca="true">MAX(0,$E$6+$F$6*_xlfn.NORM.S.INV(RAND()))</f>
        <v>12.1819113557989</v>
      </c>
      <c r="F95" s="27" t="n">
        <f aca="false">1/(1+EXP(-03_Inputs_Assumptions!$B$14*(E95-03_Inputs_Assumptions!$B$5)))</f>
        <v>0.0993451319537222</v>
      </c>
      <c r="G95" s="28" t="n">
        <f aca="false">D95*04_Baseline_PnL!$B$15*F95*04_Baseline_PnL!$B$14</f>
        <v>278112.282383587</v>
      </c>
      <c r="H95" s="28" t="n">
        <f aca="false">D95*03_Inputs_Assumptions!$B$13*01_Macro_Data!$B$97*($G$6-1)+D95*04_Baseline_PnL!$B$15*04_Baseline_PnL!$B$13*03_Inputs_Assumptions!$B$15*($H$6-1)</f>
        <v>1196044.25392344</v>
      </c>
      <c r="I95" s="16" t="n">
        <f aca="false">G95+H95</f>
        <v>1474156.53630703</v>
      </c>
    </row>
    <row r="96" customFormat="false" ht="15" hidden="false" customHeight="true" outlineLevel="0" collapsed="false">
      <c r="A96" s="4" t="s">
        <v>302</v>
      </c>
      <c r="B96" s="4" t="n">
        <v>86</v>
      </c>
      <c r="C96" s="24" t="n">
        <f aca="true">RAND()</f>
        <v>0.106023930700686</v>
      </c>
      <c r="D96" s="25" t="n">
        <f aca="false">IF(C96&lt;(($C$6-$B$6)/($D$6-$B$6)),$B$6+SQRT(C96*($D$6-$B$6)*($C$6-$B$6)),$D$6-SQRT((1-C96)*($D$6-$B$6)*($D$6-$C$6)))</f>
        <v>7.19034439320676</v>
      </c>
      <c r="E96" s="26" t="n">
        <f aca="true">MAX(0,$E$6+$F$6*_xlfn.NORM.S.INV(RAND()))</f>
        <v>15.249701953142</v>
      </c>
      <c r="F96" s="27" t="n">
        <f aca="false">1/(1+EXP(-03_Inputs_Assumptions!$B$14*(E96-03_Inputs_Assumptions!$B$5)))</f>
        <v>0.191921230348553</v>
      </c>
      <c r="G96" s="28" t="n">
        <f aca="false">D96*04_Baseline_PnL!$B$15*F96*04_Baseline_PnL!$B$14</f>
        <v>394604.644383856</v>
      </c>
      <c r="H96" s="28" t="n">
        <f aca="false">D96*03_Inputs_Assumptions!$B$13*01_Macro_Data!$B$97*($G$6-1)+D96*04_Baseline_PnL!$B$15*04_Baseline_PnL!$B$13*03_Inputs_Assumptions!$B$15*($H$6-1)</f>
        <v>878441.498380313</v>
      </c>
      <c r="I96" s="16" t="n">
        <f aca="false">G96+H96</f>
        <v>1273046.14276417</v>
      </c>
    </row>
    <row r="97" customFormat="false" ht="15" hidden="false" customHeight="true" outlineLevel="0" collapsed="false">
      <c r="A97" s="4" t="s">
        <v>302</v>
      </c>
      <c r="B97" s="4" t="n">
        <v>87</v>
      </c>
      <c r="C97" s="24" t="n">
        <f aca="true">RAND()</f>
        <v>0.741394537009702</v>
      </c>
      <c r="D97" s="25" t="n">
        <f aca="false">IF(C97&lt;(($C$6-$B$6)/($D$6-$B$6)),$B$6+SQRT(C97*($D$6-$B$6)*($C$6-$B$6)),$D$6-SQRT((1-C97)*($D$6-$B$6)*($D$6-$C$6)))</f>
        <v>13.5675141602606</v>
      </c>
      <c r="E97" s="26" t="n">
        <f aca="true">MAX(0,$E$6+$F$6*_xlfn.NORM.S.INV(RAND()))</f>
        <v>17.0531305110203</v>
      </c>
      <c r="F97" s="27" t="n">
        <f aca="false">1/(1+EXP(-03_Inputs_Assumptions!$B$14*(E97-03_Inputs_Assumptions!$B$5)))</f>
        <v>0.271560945468362</v>
      </c>
      <c r="G97" s="28" t="n">
        <f aca="false">D97*04_Baseline_PnL!$B$15*F97*04_Baseline_PnL!$B$14</f>
        <v>1053554.67076667</v>
      </c>
      <c r="H97" s="28" t="n">
        <f aca="false">D97*03_Inputs_Assumptions!$B$13*01_Macro_Data!$B$97*($G$6-1)+D97*04_Baseline_PnL!$B$15*04_Baseline_PnL!$B$13*03_Inputs_Assumptions!$B$15*($H$6-1)</f>
        <v>1657537.77795338</v>
      </c>
      <c r="I97" s="16" t="n">
        <f aca="false">G97+H97</f>
        <v>2711092.44872004</v>
      </c>
    </row>
    <row r="98" customFormat="false" ht="15" hidden="false" customHeight="true" outlineLevel="0" collapsed="false">
      <c r="A98" s="4" t="s">
        <v>302</v>
      </c>
      <c r="B98" s="4" t="n">
        <v>88</v>
      </c>
      <c r="C98" s="24" t="n">
        <f aca="true">RAND()</f>
        <v>0.971184187636354</v>
      </c>
      <c r="D98" s="25" t="n">
        <f aca="false">IF(C98&lt;(($C$6-$B$6)/($D$6-$B$6)),$B$6+SQRT(C98*($D$6-$B$6)*($C$6-$B$6)),$D$6-SQRT((1-C98)*($D$6-$B$6)*($D$6-$C$6)))</f>
        <v>17.8527855304643</v>
      </c>
      <c r="E98" s="26" t="n">
        <f aca="true">MAX(0,$E$6+$F$6*_xlfn.NORM.S.INV(RAND()))</f>
        <v>11.996542174702</v>
      </c>
      <c r="F98" s="27" t="n">
        <f aca="false">1/(1+EXP(-03_Inputs_Assumptions!$B$14*(E98-03_Inputs_Assumptions!$B$5)))</f>
        <v>0.0952749247524854</v>
      </c>
      <c r="G98" s="28" t="n">
        <f aca="false">D98*04_Baseline_PnL!$B$15*F98*04_Baseline_PnL!$B$14</f>
        <v>486378.180154959</v>
      </c>
      <c r="H98" s="28" t="n">
        <f aca="false">D98*03_Inputs_Assumptions!$B$13*01_Macro_Data!$B$97*($G$6-1)+D98*04_Baseline_PnL!$B$15*04_Baseline_PnL!$B$13*03_Inputs_Assumptions!$B$15*($H$6-1)</f>
        <v>2181067.66714261</v>
      </c>
      <c r="I98" s="16" t="n">
        <f aca="false">G98+H98</f>
        <v>2667445.84729757</v>
      </c>
    </row>
    <row r="99" customFormat="false" ht="15" hidden="false" customHeight="true" outlineLevel="0" collapsed="false">
      <c r="A99" s="4" t="s">
        <v>302</v>
      </c>
      <c r="B99" s="4" t="n">
        <v>89</v>
      </c>
      <c r="C99" s="24" t="n">
        <f aca="true">RAND()</f>
        <v>0.375007066531112</v>
      </c>
      <c r="D99" s="25" t="n">
        <f aca="false">IF(C99&lt;(($C$6-$B$6)/($D$6-$B$6)),$B$6+SQRT(C99*($D$6-$B$6)*($C$6-$B$6)),$D$6-SQRT((1-C99)*($D$6-$B$6)*($D$6-$C$6)))</f>
        <v>10.0000565324087</v>
      </c>
      <c r="E99" s="26" t="n">
        <f aca="true">MAX(0,$E$6+$F$6*_xlfn.NORM.S.INV(RAND()))</f>
        <v>7.77461361128246</v>
      </c>
      <c r="F99" s="27" t="n">
        <f aca="false">1/(1+EXP(-03_Inputs_Assumptions!$B$14*(E99-03_Inputs_Assumptions!$B$5)))</f>
        <v>0.0353541042688356</v>
      </c>
      <c r="G99" s="28" t="n">
        <f aca="false">D99*04_Baseline_PnL!$B$15*F99*04_Baseline_PnL!$B$14</f>
        <v>101095.488432705</v>
      </c>
      <c r="H99" s="28" t="n">
        <f aca="false">D99*03_Inputs_Assumptions!$B$13*01_Macro_Data!$B$97*($G$6-1)+D99*04_Baseline_PnL!$B$15*04_Baseline_PnL!$B$13*03_Inputs_Assumptions!$B$15*($H$6-1)</f>
        <v>1221702.90654176</v>
      </c>
      <c r="I99" s="16" t="n">
        <f aca="false">G99+H99</f>
        <v>1322798.39497446</v>
      </c>
    </row>
    <row r="100" customFormat="false" ht="15" hidden="false" customHeight="true" outlineLevel="0" collapsed="false">
      <c r="A100" s="4" t="s">
        <v>302</v>
      </c>
      <c r="B100" s="4" t="n">
        <v>90</v>
      </c>
      <c r="C100" s="24" t="n">
        <f aca="true">RAND()</f>
        <v>0.816038859424154</v>
      </c>
      <c r="D100" s="25" t="n">
        <f aca="false">IF(C100&lt;(($C$6-$B$6)/($D$6-$B$6)),$B$6+SQRT(C100*($D$6-$B$6)*($C$6-$B$6)),$D$6-SQRT((1-C100)*($D$6-$B$6)*($D$6-$C$6)))</f>
        <v>14.574708994705</v>
      </c>
      <c r="E100" s="26" t="n">
        <f aca="true">MAX(0,$E$6+$F$6*_xlfn.NORM.S.INV(RAND()))</f>
        <v>15.7707659740766</v>
      </c>
      <c r="F100" s="27" t="n">
        <f aca="false">1/(1+EXP(-03_Inputs_Assumptions!$B$14*(E100-03_Inputs_Assumptions!$B$5)))</f>
        <v>0.212937576903383</v>
      </c>
      <c r="G100" s="28" t="n">
        <f aca="false">D100*04_Baseline_PnL!$B$15*F100*04_Baseline_PnL!$B$14</f>
        <v>887445.478847162</v>
      </c>
      <c r="H100" s="28" t="n">
        <f aca="false">D100*03_Inputs_Assumptions!$B$13*01_Macro_Data!$B$97*($G$6-1)+D100*04_Baseline_PnL!$B$15*04_Baseline_PnL!$B$13*03_Inputs_Assumptions!$B$15*($H$6-1)</f>
        <v>1780586.36799951</v>
      </c>
      <c r="I100" s="16" t="n">
        <f aca="false">G100+H100</f>
        <v>2668031.84684667</v>
      </c>
    </row>
    <row r="101" customFormat="false" ht="15" hidden="false" customHeight="true" outlineLevel="0" collapsed="false">
      <c r="A101" s="4" t="s">
        <v>302</v>
      </c>
      <c r="B101" s="4" t="n">
        <v>91</v>
      </c>
      <c r="C101" s="24" t="n">
        <f aca="true">RAND()</f>
        <v>0.529644913515935</v>
      </c>
      <c r="D101" s="25" t="n">
        <f aca="false">IF(C101&lt;(($C$6-$B$6)/($D$6-$B$6)),$B$6+SQRT(C101*($D$6-$B$6)*($C$6-$B$6)),$D$6-SQRT((1-C101)*($D$6-$B$6)*($D$6-$C$6)))</f>
        <v>11.3249314793801</v>
      </c>
      <c r="E101" s="26" t="n">
        <f aca="true">MAX(0,$E$6+$F$6*_xlfn.NORM.S.INV(RAND()))</f>
        <v>24.5269041503572</v>
      </c>
      <c r="F101" s="27" t="n">
        <f aca="false">1/(1+EXP(-03_Inputs_Assumptions!$B$14*(E101-03_Inputs_Assumptions!$B$5)))</f>
        <v>0.707179770760955</v>
      </c>
      <c r="G101" s="28" t="n">
        <f aca="false">D101*04_Baseline_PnL!$B$15*F101*04_Baseline_PnL!$B$14</f>
        <v>2290102.35443343</v>
      </c>
      <c r="H101" s="28" t="n">
        <f aca="false">D101*03_Inputs_Assumptions!$B$13*01_Macro_Data!$B$97*($G$6-1)+D101*04_Baseline_PnL!$B$15*04_Baseline_PnL!$B$13*03_Inputs_Assumptions!$B$15*($H$6-1)</f>
        <v>1383562.34886328</v>
      </c>
      <c r="I101" s="16" t="n">
        <f aca="false">G101+H101</f>
        <v>3673664.7032967</v>
      </c>
    </row>
    <row r="102" customFormat="false" ht="15" hidden="false" customHeight="true" outlineLevel="0" collapsed="false">
      <c r="A102" s="4" t="s">
        <v>302</v>
      </c>
      <c r="B102" s="4" t="n">
        <v>92</v>
      </c>
      <c r="C102" s="24" t="n">
        <f aca="true">RAND()</f>
        <v>0.506781928416427</v>
      </c>
      <c r="D102" s="25" t="n">
        <f aca="false">IF(C102&lt;(($C$6-$B$6)/($D$6-$B$6)),$B$6+SQRT(C102*($D$6-$B$6)*($C$6-$B$6)),$D$6-SQRT((1-C102)*($D$6-$B$6)*($D$6-$C$6)))</f>
        <v>11.1165946026666</v>
      </c>
      <c r="E102" s="26" t="n">
        <f aca="true">MAX(0,$E$6+$F$6*_xlfn.NORM.S.INV(RAND()))</f>
        <v>7.79585742768439</v>
      </c>
      <c r="F102" s="27" t="n">
        <f aca="false">1/(1+EXP(-03_Inputs_Assumptions!$B$14*(E102-03_Inputs_Assumptions!$B$5)))</f>
        <v>0.0355356777093044</v>
      </c>
      <c r="G102" s="28" t="n">
        <f aca="false">D102*04_Baseline_PnL!$B$15*F102*04_Baseline_PnL!$B$14</f>
        <v>112960.303832122</v>
      </c>
      <c r="H102" s="28" t="n">
        <f aca="false">D102*03_Inputs_Assumptions!$B$13*01_Macro_Data!$B$97*($G$6-1)+D102*04_Baseline_PnL!$B$15*04_Baseline_PnL!$B$13*03_Inputs_Assumptions!$B$15*($H$6-1)</f>
        <v>1358109.91596994</v>
      </c>
      <c r="I102" s="16" t="n">
        <f aca="false">G102+H102</f>
        <v>1471070.21980206</v>
      </c>
    </row>
    <row r="103" customFormat="false" ht="15" hidden="false" customHeight="true" outlineLevel="0" collapsed="false">
      <c r="A103" s="4" t="s">
        <v>302</v>
      </c>
      <c r="B103" s="4" t="n">
        <v>93</v>
      </c>
      <c r="C103" s="24" t="n">
        <f aca="true">RAND()</f>
        <v>0.819156593285732</v>
      </c>
      <c r="D103" s="25" t="n">
        <f aca="false">IF(C103&lt;(($C$6-$B$6)/($D$6-$B$6)),$B$6+SQRT(C103*($D$6-$B$6)*($C$6-$B$6)),$D$6-SQRT((1-C103)*($D$6-$B$6)*($D$6-$C$6)))</f>
        <v>14.6208787823397</v>
      </c>
      <c r="E103" s="26" t="n">
        <f aca="true">MAX(0,$E$6+$F$6*_xlfn.NORM.S.INV(RAND()))</f>
        <v>9.53559960016504</v>
      </c>
      <c r="F103" s="27" t="n">
        <f aca="false">1/(1+EXP(-03_Inputs_Assumptions!$B$14*(E103-03_Inputs_Assumptions!$B$5)))</f>
        <v>0.053855024687543</v>
      </c>
      <c r="G103" s="28" t="n">
        <f aca="false">D103*04_Baseline_PnL!$B$15*F103*04_Baseline_PnL!$B$14</f>
        <v>225158.935667449</v>
      </c>
      <c r="H103" s="28" t="n">
        <f aca="false">D103*03_Inputs_Assumptions!$B$13*01_Macro_Data!$B$97*($G$6-1)+D103*04_Baseline_PnL!$B$15*04_Baseline_PnL!$B$13*03_Inputs_Assumptions!$B$15*($H$6-1)</f>
        <v>1786226.91248693</v>
      </c>
      <c r="I103" s="16" t="n">
        <f aca="false">G103+H103</f>
        <v>2011385.84815438</v>
      </c>
    </row>
    <row r="104" customFormat="false" ht="15" hidden="false" customHeight="true" outlineLevel="0" collapsed="false">
      <c r="A104" s="4" t="s">
        <v>302</v>
      </c>
      <c r="B104" s="4" t="n">
        <v>94</v>
      </c>
      <c r="C104" s="24" t="n">
        <f aca="true">RAND()</f>
        <v>0.735285271280115</v>
      </c>
      <c r="D104" s="25" t="n">
        <f aca="false">IF(C104&lt;(($C$6-$B$6)/($D$6-$B$6)),$B$6+SQRT(C104*($D$6-$B$6)*($C$6-$B$6)),$D$6-SQRT((1-C104)*($D$6-$B$6)*($D$6-$C$6)))</f>
        <v>13.4919775203844</v>
      </c>
      <c r="E104" s="26" t="n">
        <f aca="true">MAX(0,$E$6+$F$6*_xlfn.NORM.S.INV(RAND()))</f>
        <v>11.5540290056497</v>
      </c>
      <c r="F104" s="27" t="n">
        <f aca="false">1/(1+EXP(-03_Inputs_Assumptions!$B$14*(E104-03_Inputs_Assumptions!$B$5)))</f>
        <v>0.0861565923464992</v>
      </c>
      <c r="G104" s="28" t="n">
        <f aca="false">D104*04_Baseline_PnL!$B$15*F104*04_Baseline_PnL!$B$14</f>
        <v>332394.327464652</v>
      </c>
      <c r="H104" s="28" t="n">
        <f aca="false">D104*03_Inputs_Assumptions!$B$13*01_Macro_Data!$B$97*($G$6-1)+D104*04_Baseline_PnL!$B$15*04_Baseline_PnL!$B$13*03_Inputs_Assumptions!$B$15*($H$6-1)</f>
        <v>1648309.49687436</v>
      </c>
      <c r="I104" s="16" t="n">
        <f aca="false">G104+H104</f>
        <v>1980703.82433901</v>
      </c>
    </row>
    <row r="105" customFormat="false" ht="15" hidden="false" customHeight="true" outlineLevel="0" collapsed="false">
      <c r="A105" s="4" t="s">
        <v>302</v>
      </c>
      <c r="B105" s="4" t="n">
        <v>95</v>
      </c>
      <c r="C105" s="24" t="n">
        <f aca="true">RAND()</f>
        <v>0.842509730031464</v>
      </c>
      <c r="D105" s="25" t="n">
        <f aca="false">IF(C105&lt;(($C$6-$B$6)/($D$6-$B$6)),$B$6+SQRT(C105*($D$6-$B$6)*($C$6-$B$6)),$D$6-SQRT((1-C105)*($D$6-$B$6)*($D$6-$C$6)))</f>
        <v>14.9801949046835</v>
      </c>
      <c r="E105" s="26" t="n">
        <f aca="true">MAX(0,$E$6+$F$6*_xlfn.NORM.S.INV(RAND()))</f>
        <v>15.8227018437725</v>
      </c>
      <c r="F105" s="27" t="n">
        <f aca="false">1/(1+EXP(-03_Inputs_Assumptions!$B$14*(E105-03_Inputs_Assumptions!$B$5)))</f>
        <v>0.215121737207273</v>
      </c>
      <c r="G105" s="28" t="n">
        <f aca="false">D105*04_Baseline_PnL!$B$15*F105*04_Baseline_PnL!$B$14</f>
        <v>921491.304734976</v>
      </c>
      <c r="H105" s="28" t="n">
        <f aca="false">D105*03_Inputs_Assumptions!$B$13*01_Macro_Data!$B$97*($G$6-1)+D105*04_Baseline_PnL!$B$15*04_Baseline_PnL!$B$13*03_Inputs_Assumptions!$B$15*($H$6-1)</f>
        <v>1830124.41942722</v>
      </c>
      <c r="I105" s="16" t="n">
        <f aca="false">G105+H105</f>
        <v>2751615.7241622</v>
      </c>
    </row>
    <row r="106" customFormat="false" ht="15" hidden="false" customHeight="true" outlineLevel="0" collapsed="false">
      <c r="A106" s="4" t="s">
        <v>302</v>
      </c>
      <c r="B106" s="4" t="n">
        <v>96</v>
      </c>
      <c r="C106" s="24" t="n">
        <f aca="true">RAND()</f>
        <v>0.398617903495585</v>
      </c>
      <c r="D106" s="25" t="n">
        <f aca="false">IF(C106&lt;(($C$6-$B$6)/($D$6-$B$6)),$B$6+SQRT(C106*($D$6-$B$6)*($C$6-$B$6)),$D$6-SQRT((1-C106)*($D$6-$B$6)*($D$6-$C$6)))</f>
        <v>10.1907627492905</v>
      </c>
      <c r="E106" s="26" t="n">
        <f aca="true">MAX(0,$E$6+$F$6*_xlfn.NORM.S.INV(RAND()))</f>
        <v>15.1773851613915</v>
      </c>
      <c r="F106" s="27" t="n">
        <f aca="false">1/(1+EXP(-03_Inputs_Assumptions!$B$14*(E106-03_Inputs_Assumptions!$B$5)))</f>
        <v>0.189132979245072</v>
      </c>
      <c r="G106" s="28" t="n">
        <f aca="false">D106*04_Baseline_PnL!$B$15*F106*04_Baseline_PnL!$B$14</f>
        <v>551141.908580248</v>
      </c>
      <c r="H106" s="28" t="n">
        <f aca="false">D106*03_Inputs_Assumptions!$B$13*01_Macro_Data!$B$97*($G$6-1)+D106*04_Baseline_PnL!$B$15*04_Baseline_PnL!$B$13*03_Inputs_Assumptions!$B$15*($H$6-1)</f>
        <v>1245001.40877572</v>
      </c>
      <c r="I106" s="16" t="n">
        <f aca="false">G106+H106</f>
        <v>1796143.31735597</v>
      </c>
    </row>
    <row r="107" customFormat="false" ht="15" hidden="false" customHeight="true" outlineLevel="0" collapsed="false">
      <c r="A107" s="4" t="s">
        <v>302</v>
      </c>
      <c r="B107" s="4" t="n">
        <v>97</v>
      </c>
      <c r="C107" s="24" t="n">
        <f aca="true">RAND()</f>
        <v>0.913963778525074</v>
      </c>
      <c r="D107" s="25" t="n">
        <f aca="false">IF(C107&lt;(($C$6-$B$6)/($D$6-$B$6)),$B$6+SQRT(C107*($D$6-$B$6)*($C$6-$B$6)),$D$6-SQRT((1-C107)*($D$6-$B$6)*($D$6-$C$6)))</f>
        <v>16.2897715116198</v>
      </c>
      <c r="E107" s="26" t="n">
        <f aca="true">MAX(0,$E$6+$F$6*_xlfn.NORM.S.INV(RAND()))</f>
        <v>6.10354625474479</v>
      </c>
      <c r="F107" s="27" t="n">
        <f aca="false">1/(1+EXP(-03_Inputs_Assumptions!$B$14*(E107-03_Inputs_Assumptions!$B$5)))</f>
        <v>0.0235657406277633</v>
      </c>
      <c r="G107" s="28" t="n">
        <f aca="false">D107*04_Baseline_PnL!$B$15*F107*04_Baseline_PnL!$B$14</f>
        <v>109770.481031521</v>
      </c>
      <c r="H107" s="28" t="n">
        <f aca="false">D107*03_Inputs_Assumptions!$B$13*01_Macro_Data!$B$97*($G$6-1)+D107*04_Baseline_PnL!$B$15*04_Baseline_PnL!$B$13*03_Inputs_Assumptions!$B$15*($H$6-1)</f>
        <v>1990114.86966599</v>
      </c>
      <c r="I107" s="16" t="n">
        <f aca="false">G107+H107</f>
        <v>2099885.35069751</v>
      </c>
    </row>
    <row r="108" customFormat="false" ht="15" hidden="false" customHeight="true" outlineLevel="0" collapsed="false">
      <c r="A108" s="4" t="s">
        <v>302</v>
      </c>
      <c r="B108" s="4" t="n">
        <v>98</v>
      </c>
      <c r="C108" s="24" t="n">
        <f aca="true">RAND()</f>
        <v>0.675880953811668</v>
      </c>
      <c r="D108" s="25" t="n">
        <f aca="false">IF(C108&lt;(($C$6-$B$6)/($D$6-$B$6)),$B$6+SQRT(C108*($D$6-$B$6)*($C$6-$B$6)),$D$6-SQRT((1-C108)*($D$6-$B$6)*($D$6-$C$6)))</f>
        <v>12.7986773860538</v>
      </c>
      <c r="E108" s="26" t="n">
        <f aca="true">MAX(0,$E$6+$F$6*_xlfn.NORM.S.INV(RAND()))</f>
        <v>19.2231675820381</v>
      </c>
      <c r="F108" s="27" t="n">
        <f aca="false">1/(1+EXP(-03_Inputs_Assumptions!$B$14*(E108-03_Inputs_Assumptions!$B$5)))</f>
        <v>0.390738720259015</v>
      </c>
      <c r="G108" s="28" t="n">
        <f aca="false">D108*04_Baseline_PnL!$B$15*F108*04_Baseline_PnL!$B$14</f>
        <v>1430016.4161027</v>
      </c>
      <c r="H108" s="28" t="n">
        <f aca="false">D108*03_Inputs_Assumptions!$B$13*01_Macro_Data!$B$97*($G$6-1)+D108*04_Baseline_PnL!$B$15*04_Baseline_PnL!$B$13*03_Inputs_Assumptions!$B$15*($H$6-1)</f>
        <v>1563609.29678324</v>
      </c>
      <c r="I108" s="16" t="n">
        <f aca="false">G108+H108</f>
        <v>2993625.71288594</v>
      </c>
    </row>
    <row r="109" customFormat="false" ht="15" hidden="false" customHeight="true" outlineLevel="0" collapsed="false">
      <c r="A109" s="4" t="s">
        <v>302</v>
      </c>
      <c r="B109" s="4" t="n">
        <v>99</v>
      </c>
      <c r="C109" s="24" t="n">
        <f aca="true">RAND()</f>
        <v>0.325854021638527</v>
      </c>
      <c r="D109" s="25" t="n">
        <f aca="false">IF(C109&lt;(($C$6-$B$6)/($D$6-$B$6)),$B$6+SQRT(C109*($D$6-$B$6)*($C$6-$B$6)),$D$6-SQRT((1-C109)*($D$6-$B$6)*($D$6-$C$6)))</f>
        <v>9.59303013377352</v>
      </c>
      <c r="E109" s="26" t="n">
        <f aca="true">MAX(0,$E$6+$F$6*_xlfn.NORM.S.INV(RAND()))</f>
        <v>16.735934311557</v>
      </c>
      <c r="F109" s="27" t="n">
        <f aca="false">1/(1+EXP(-03_Inputs_Assumptions!$B$14*(E109-03_Inputs_Assumptions!$B$5)))</f>
        <v>0.256161388402982</v>
      </c>
      <c r="G109" s="28" t="n">
        <f aca="false">D109*04_Baseline_PnL!$B$15*F109*04_Baseline_PnL!$B$14</f>
        <v>702682.20981177</v>
      </c>
      <c r="H109" s="28" t="n">
        <f aca="false">D109*03_Inputs_Assumptions!$B$13*01_Macro_Data!$B$97*($G$6-1)+D109*04_Baseline_PnL!$B$15*04_Baseline_PnL!$B$13*03_Inputs_Assumptions!$B$15*($H$6-1)</f>
        <v>1171976.65423106</v>
      </c>
      <c r="I109" s="16" t="n">
        <f aca="false">G109+H109</f>
        <v>1874658.86404283</v>
      </c>
    </row>
    <row r="110" customFormat="false" ht="15" hidden="false" customHeight="true" outlineLevel="0" collapsed="false">
      <c r="A110" s="4" t="s">
        <v>302</v>
      </c>
      <c r="B110" s="4" t="n">
        <v>100</v>
      </c>
      <c r="C110" s="24" t="n">
        <f aca="true">RAND()</f>
        <v>0.647730994539455</v>
      </c>
      <c r="D110" s="25" t="n">
        <f aca="false">IF(C110&lt;(($C$6-$B$6)/($D$6-$B$6)),$B$6+SQRT(C110*($D$6-$B$6)*($C$6-$B$6)),$D$6-SQRT((1-C110)*($D$6-$B$6)*($D$6-$C$6)))</f>
        <v>12.4924677240995</v>
      </c>
      <c r="E110" s="26" t="n">
        <f aca="true">MAX(0,$E$6+$F$6*_xlfn.NORM.S.INV(RAND()))</f>
        <v>10.1509958592963</v>
      </c>
      <c r="F110" s="27" t="n">
        <f aca="false">1/(1+EXP(-03_Inputs_Assumptions!$B$14*(E110-03_Inputs_Assumptions!$B$5)))</f>
        <v>0.0622543092861427</v>
      </c>
      <c r="G110" s="28" t="n">
        <f aca="false">D110*04_Baseline_PnL!$B$15*F110*04_Baseline_PnL!$B$14</f>
        <v>222385.842752594</v>
      </c>
      <c r="H110" s="28" t="n">
        <f aca="false">D110*03_Inputs_Assumptions!$B$13*01_Macro_Data!$B$97*($G$6-1)+D110*04_Baseline_PnL!$B$15*04_Baseline_PnL!$B$13*03_Inputs_Assumptions!$B$15*($H$6-1)</f>
        <v>1526199.78486615</v>
      </c>
      <c r="I110" s="16" t="n">
        <f aca="false">G110+H110</f>
        <v>1748585.62761875</v>
      </c>
    </row>
    <row r="111" customFormat="false" ht="15" hidden="false" customHeight="true" outlineLevel="0" collapsed="false">
      <c r="A111" s="4" t="s">
        <v>302</v>
      </c>
      <c r="B111" s="4" t="n">
        <v>101</v>
      </c>
      <c r="C111" s="24" t="n">
        <f aca="true">RAND()</f>
        <v>0.70291675608563</v>
      </c>
      <c r="D111" s="25" t="n">
        <f aca="false">IF(C111&lt;(($C$6-$B$6)/($D$6-$B$6)),$B$6+SQRT(C111*($D$6-$B$6)*($C$6-$B$6)),$D$6-SQRT((1-C111)*($D$6-$B$6)*($D$6-$C$6)))</f>
        <v>13.1055588314716</v>
      </c>
      <c r="E111" s="26" t="n">
        <f aca="true">MAX(0,$E$6+$F$6*_xlfn.NORM.S.INV(RAND()))</f>
        <v>11.1881932925015</v>
      </c>
      <c r="F111" s="27" t="n">
        <f aca="false">1/(1+EXP(-03_Inputs_Assumptions!$B$14*(E111-03_Inputs_Assumptions!$B$5)))</f>
        <v>0.079222966534945</v>
      </c>
      <c r="G111" s="28" t="n">
        <f aca="false">D111*04_Baseline_PnL!$B$15*F111*04_Baseline_PnL!$B$14</f>
        <v>296890.380482985</v>
      </c>
      <c r="H111" s="28" t="n">
        <f aca="false">D111*03_Inputs_Assumptions!$B$13*01_Macro_Data!$B$97*($G$6-1)+D111*04_Baseline_PnL!$B$15*04_Baseline_PnL!$B$13*03_Inputs_Assumptions!$B$15*($H$6-1)</f>
        <v>1601100.88021735</v>
      </c>
      <c r="I111" s="16" t="n">
        <f aca="false">G111+H111</f>
        <v>1897991.26070034</v>
      </c>
    </row>
    <row r="112" customFormat="false" ht="15" hidden="false" customHeight="true" outlineLevel="0" collapsed="false">
      <c r="A112" s="4" t="s">
        <v>302</v>
      </c>
      <c r="B112" s="4" t="n">
        <v>102</v>
      </c>
      <c r="C112" s="24" t="n">
        <f aca="true">RAND()</f>
        <v>0.458340487399386</v>
      </c>
      <c r="D112" s="25" t="n">
        <f aca="false">IF(C112&lt;(($C$6-$B$6)/($D$6-$B$6)),$B$6+SQRT(C112*($D$6-$B$6)*($C$6-$B$6)),$D$6-SQRT((1-C112)*($D$6-$B$6)*($D$6-$C$6)))</f>
        <v>10.6905681152877</v>
      </c>
      <c r="E112" s="26" t="n">
        <f aca="true">MAX(0,$E$6+$F$6*_xlfn.NORM.S.INV(RAND()))</f>
        <v>8.12376133363819</v>
      </c>
      <c r="F112" s="27" t="n">
        <f aca="false">1/(1+EXP(-03_Inputs_Assumptions!$B$14*(E112-03_Inputs_Assumptions!$B$5)))</f>
        <v>0.038454740158133</v>
      </c>
      <c r="G112" s="28" t="n">
        <f aca="false">D112*04_Baseline_PnL!$B$15*F112*04_Baseline_PnL!$B$14</f>
        <v>117554.740565559</v>
      </c>
      <c r="H112" s="28" t="n">
        <f aca="false">D112*03_Inputs_Assumptions!$B$13*01_Macro_Data!$B$97*($G$6-1)+D112*04_Baseline_PnL!$B$15*04_Baseline_PnL!$B$13*03_Inputs_Assumptions!$B$15*($H$6-1)</f>
        <v>1306062.43041745</v>
      </c>
      <c r="I112" s="16" t="n">
        <f aca="false">G112+H112</f>
        <v>1423617.17098301</v>
      </c>
    </row>
    <row r="113" customFormat="false" ht="15" hidden="false" customHeight="true" outlineLevel="0" collapsed="false">
      <c r="A113" s="4" t="s">
        <v>302</v>
      </c>
      <c r="B113" s="4" t="n">
        <v>103</v>
      </c>
      <c r="C113" s="24" t="n">
        <f aca="true">RAND()</f>
        <v>0.440829092879081</v>
      </c>
      <c r="D113" s="25" t="n">
        <f aca="false">IF(C113&lt;(($C$6-$B$6)/($D$6-$B$6)),$B$6+SQRT(C113*($D$6-$B$6)*($C$6-$B$6)),$D$6-SQRT((1-C113)*($D$6-$B$6)*($D$6-$C$6)))</f>
        <v>10.5412820562538</v>
      </c>
      <c r="E113" s="26" t="n">
        <f aca="true">MAX(0,$E$6+$F$6*_xlfn.NORM.S.INV(RAND()))</f>
        <v>12.8664382065339</v>
      </c>
      <c r="F113" s="27" t="n">
        <f aca="false">1/(1+EXP(-03_Inputs_Assumptions!$B$14*(E113-03_Inputs_Assumptions!$B$5)))</f>
        <v>0.115741473000704</v>
      </c>
      <c r="G113" s="28" t="n">
        <f aca="false">D113*04_Baseline_PnL!$B$15*F113*04_Baseline_PnL!$B$14</f>
        <v>348876.663638839</v>
      </c>
      <c r="H113" s="28" t="n">
        <f aca="false">D113*03_Inputs_Assumptions!$B$13*01_Macro_Data!$B$97*($G$6-1)+D113*04_Baseline_PnL!$B$15*04_Baseline_PnL!$B$13*03_Inputs_Assumptions!$B$15*($H$6-1)</f>
        <v>1287824.2122997</v>
      </c>
      <c r="I113" s="16" t="n">
        <f aca="false">G113+H113</f>
        <v>1636700.87593854</v>
      </c>
    </row>
    <row r="114" customFormat="false" ht="15" hidden="false" customHeight="true" outlineLevel="0" collapsed="false">
      <c r="A114" s="4" t="s">
        <v>302</v>
      </c>
      <c r="B114" s="4" t="n">
        <v>104</v>
      </c>
      <c r="C114" s="24" t="n">
        <f aca="true">RAND()</f>
        <v>0.934913299010748</v>
      </c>
      <c r="D114" s="25" t="n">
        <f aca="false">IF(C114&lt;(($C$6-$B$6)/($D$6-$B$6)),$B$6+SQRT(C114*($D$6-$B$6)*($C$6-$B$6)),$D$6-SQRT((1-C114)*($D$6-$B$6)*($D$6-$C$6)))</f>
        <v>16.7729468305774</v>
      </c>
      <c r="E114" s="26" t="n">
        <f aca="true">MAX(0,$E$6+$F$6*_xlfn.NORM.S.INV(RAND()))</f>
        <v>10.5738671000951</v>
      </c>
      <c r="F114" s="27" t="n">
        <f aca="false">1/(1+EXP(-03_Inputs_Assumptions!$B$14*(E114-03_Inputs_Assumptions!$B$5)))</f>
        <v>0.0687191348404251</v>
      </c>
      <c r="G114" s="28" t="n">
        <f aca="false">D114*04_Baseline_PnL!$B$15*F114*04_Baseline_PnL!$B$14</f>
        <v>329591.903580098</v>
      </c>
      <c r="H114" s="28" t="n">
        <f aca="false">D114*03_Inputs_Assumptions!$B$13*01_Macro_Data!$B$97*($G$6-1)+D114*04_Baseline_PnL!$B$15*04_Baseline_PnL!$B$13*03_Inputs_Assumptions!$B$15*($H$6-1)</f>
        <v>2049144.20511291</v>
      </c>
      <c r="I114" s="16" t="n">
        <f aca="false">G114+H114</f>
        <v>2378736.10869301</v>
      </c>
    </row>
    <row r="115" customFormat="false" ht="15" hidden="false" customHeight="true" outlineLevel="0" collapsed="false">
      <c r="A115" s="4" t="s">
        <v>302</v>
      </c>
      <c r="B115" s="4" t="n">
        <v>105</v>
      </c>
      <c r="C115" s="24" t="n">
        <f aca="true">RAND()</f>
        <v>0.347080249675652</v>
      </c>
      <c r="D115" s="25" t="n">
        <f aca="false">IF(C115&lt;(($C$6-$B$6)/($D$6-$B$6)),$B$6+SQRT(C115*($D$6-$B$6)*($C$6-$B$6)),$D$6-SQRT((1-C115)*($D$6-$B$6)*($D$6-$C$6)))</f>
        <v>9.77232223363029</v>
      </c>
      <c r="E115" s="26" t="n">
        <f aca="true">MAX(0,$E$6+$F$6*_xlfn.NORM.S.INV(RAND()))</f>
        <v>9.96351126940226</v>
      </c>
      <c r="F115" s="27" t="n">
        <f aca="false">1/(1+EXP(-03_Inputs_Assumptions!$B$14*(E115-03_Inputs_Assumptions!$B$5)))</f>
        <v>0.0595735262640844</v>
      </c>
      <c r="G115" s="28" t="n">
        <f aca="false">D115*04_Baseline_PnL!$B$15*F115*04_Baseline_PnL!$B$14</f>
        <v>166471.758740815</v>
      </c>
      <c r="H115" s="28" t="n">
        <f aca="false">D115*03_Inputs_Assumptions!$B$13*01_Macro_Data!$B$97*($G$6-1)+D115*04_Baseline_PnL!$B$15*04_Baseline_PnL!$B$13*03_Inputs_Assumptions!$B$15*($H$6-1)</f>
        <v>1193880.69835372</v>
      </c>
      <c r="I115" s="16" t="n">
        <f aca="false">G115+H115</f>
        <v>1360352.45709453</v>
      </c>
    </row>
    <row r="116" customFormat="false" ht="15" hidden="false" customHeight="true" outlineLevel="0" collapsed="false">
      <c r="A116" s="4" t="s">
        <v>302</v>
      </c>
      <c r="B116" s="4" t="n">
        <v>106</v>
      </c>
      <c r="C116" s="24" t="n">
        <f aca="true">RAND()</f>
        <v>0.980574765890594</v>
      </c>
      <c r="D116" s="25" t="n">
        <f aca="false">IF(C116&lt;(($C$6-$B$6)/($D$6-$B$6)),$B$6+SQRT(C116*($D$6-$B$6)*($C$6-$B$6)),$D$6-SQRT((1-C116)*($D$6-$B$6)*($D$6-$C$6)))</f>
        <v>18.2370373068312</v>
      </c>
      <c r="E116" s="26" t="n">
        <f aca="true">MAX(0,$E$6+$F$6*_xlfn.NORM.S.INV(RAND()))</f>
        <v>9.35176680827004</v>
      </c>
      <c r="F116" s="27" t="n">
        <f aca="false">1/(1+EXP(-03_Inputs_Assumptions!$B$14*(E116-03_Inputs_Assumptions!$B$5)))</f>
        <v>0.0515606872471548</v>
      </c>
      <c r="G116" s="28" t="n">
        <f aca="false">D116*04_Baseline_PnL!$B$15*F116*04_Baseline_PnL!$B$14</f>
        <v>268882.455252228</v>
      </c>
      <c r="H116" s="28" t="n">
        <f aca="false">D116*03_Inputs_Assumptions!$B$13*01_Macro_Data!$B$97*($G$6-1)+D116*04_Baseline_PnL!$B$15*04_Baseline_PnL!$B$13*03_Inputs_Assumptions!$B$15*($H$6-1)</f>
        <v>2228011.55296064</v>
      </c>
      <c r="I116" s="16" t="n">
        <f aca="false">G116+H116</f>
        <v>2496894.00821287</v>
      </c>
    </row>
    <row r="117" customFormat="false" ht="15" hidden="false" customHeight="true" outlineLevel="0" collapsed="false">
      <c r="A117" s="4" t="s">
        <v>302</v>
      </c>
      <c r="B117" s="4" t="n">
        <v>107</v>
      </c>
      <c r="C117" s="24" t="n">
        <f aca="true">RAND()</f>
        <v>0.361129287903783</v>
      </c>
      <c r="D117" s="25" t="n">
        <f aca="false">IF(C117&lt;(($C$6-$B$6)/($D$6-$B$6)),$B$6+SQRT(C117*($D$6-$B$6)*($C$6-$B$6)),$D$6-SQRT((1-C117)*($D$6-$B$6)*($D$6-$C$6)))</f>
        <v>9.88798876007446</v>
      </c>
      <c r="E117" s="26" t="n">
        <f aca="true">MAX(0,$E$6+$F$6*_xlfn.NORM.S.INV(RAND()))</f>
        <v>6.39293509391837</v>
      </c>
      <c r="F117" s="27" t="n">
        <f aca="false">1/(1+EXP(-03_Inputs_Assumptions!$B$14*(E117-03_Inputs_Assumptions!$B$5)))</f>
        <v>0.0252891299450017</v>
      </c>
      <c r="G117" s="28" t="n">
        <f aca="false">D117*04_Baseline_PnL!$B$15*F117*04_Baseline_PnL!$B$14</f>
        <v>71504.1639866507</v>
      </c>
      <c r="H117" s="28" t="n">
        <f aca="false">D117*03_Inputs_Assumptions!$B$13*01_Macro_Data!$B$97*($G$6-1)+D117*04_Baseline_PnL!$B$15*04_Baseline_PnL!$B$13*03_Inputs_Assumptions!$B$15*($H$6-1)</f>
        <v>1208011.63162279</v>
      </c>
      <c r="I117" s="16" t="n">
        <f aca="false">G117+H117</f>
        <v>1279515.79560944</v>
      </c>
    </row>
    <row r="118" customFormat="false" ht="15" hidden="false" customHeight="true" outlineLevel="0" collapsed="false">
      <c r="A118" s="4" t="s">
        <v>302</v>
      </c>
      <c r="B118" s="4" t="n">
        <v>108</v>
      </c>
      <c r="C118" s="24" t="n">
        <f aca="true">RAND()</f>
        <v>0.886282732350434</v>
      </c>
      <c r="D118" s="25" t="n">
        <f aca="false">IF(C118&lt;(($C$6-$B$6)/($D$6-$B$6)),$B$6+SQRT(C118*($D$6-$B$6)*($C$6-$B$6)),$D$6-SQRT((1-C118)*($D$6-$B$6)*($D$6-$C$6)))</f>
        <v>15.7344680491256</v>
      </c>
      <c r="E118" s="26" t="n">
        <f aca="true">MAX(0,$E$6+$F$6*_xlfn.NORM.S.INV(RAND()))</f>
        <v>12.0139943922108</v>
      </c>
      <c r="F118" s="27" t="n">
        <f aca="false">1/(1+EXP(-03_Inputs_Assumptions!$B$14*(E118-03_Inputs_Assumptions!$B$5)))</f>
        <v>0.0956516743080625</v>
      </c>
      <c r="G118" s="28" t="n">
        <f aca="false">D118*04_Baseline_PnL!$B$15*F118*04_Baseline_PnL!$B$14</f>
        <v>430362.203555004</v>
      </c>
      <c r="H118" s="28" t="n">
        <f aca="false">D118*03_Inputs_Assumptions!$B$13*01_Macro_Data!$B$97*($G$6-1)+D118*04_Baseline_PnL!$B$15*04_Baseline_PnL!$B$13*03_Inputs_Assumptions!$B$15*($H$6-1)</f>
        <v>1922273.66777445</v>
      </c>
      <c r="I118" s="16" t="n">
        <f aca="false">G118+H118</f>
        <v>2352635.87132946</v>
      </c>
    </row>
    <row r="119" customFormat="false" ht="15" hidden="false" customHeight="true" outlineLevel="0" collapsed="false">
      <c r="A119" s="4" t="s">
        <v>302</v>
      </c>
      <c r="B119" s="4" t="n">
        <v>109</v>
      </c>
      <c r="C119" s="24" t="n">
        <f aca="true">RAND()</f>
        <v>0.116562971898991</v>
      </c>
      <c r="D119" s="25" t="n">
        <f aca="false">IF(C119&lt;(($C$6-$B$6)/($D$6-$B$6)),$B$6+SQRT(C119*($D$6-$B$6)*($C$6-$B$6)),$D$6-SQRT((1-C119)*($D$6-$B$6)*($D$6-$C$6)))</f>
        <v>7.34515250807839</v>
      </c>
      <c r="E119" s="26" t="n">
        <f aca="true">MAX(0,$E$6+$F$6*_xlfn.NORM.S.INV(RAND()))</f>
        <v>11.1031637625118</v>
      </c>
      <c r="F119" s="27" t="n">
        <f aca="false">1/(1+EXP(-03_Inputs_Assumptions!$B$14*(E119-03_Inputs_Assumptions!$B$5)))</f>
        <v>0.0776861153034127</v>
      </c>
      <c r="G119" s="28" t="n">
        <f aca="false">D119*04_Baseline_PnL!$B$15*F119*04_Baseline_PnL!$B$14</f>
        <v>163167.51667509</v>
      </c>
      <c r="H119" s="28" t="n">
        <f aca="false">D119*03_Inputs_Assumptions!$B$13*01_Macro_Data!$B$97*($G$6-1)+D119*04_Baseline_PnL!$B$15*04_Baseline_PnL!$B$13*03_Inputs_Assumptions!$B$15*($H$6-1)</f>
        <v>897354.343850934</v>
      </c>
      <c r="I119" s="16" t="n">
        <f aca="false">G119+H119</f>
        <v>1060521.86052602</v>
      </c>
    </row>
    <row r="120" customFormat="false" ht="15" hidden="false" customHeight="true" outlineLevel="0" collapsed="false">
      <c r="A120" s="4" t="s">
        <v>302</v>
      </c>
      <c r="B120" s="4" t="n">
        <v>110</v>
      </c>
      <c r="C120" s="24" t="n">
        <f aca="true">RAND()</f>
        <v>0.751796135831394</v>
      </c>
      <c r="D120" s="25" t="n">
        <f aca="false">IF(C120&lt;(($C$6-$B$6)/($D$6-$B$6)),$B$6+SQRT(C120*($D$6-$B$6)*($C$6-$B$6)),$D$6-SQRT((1-C120)*($D$6-$B$6)*($D$6-$C$6)))</f>
        <v>13.6982051551183</v>
      </c>
      <c r="E120" s="26" t="n">
        <f aca="true">MAX(0,$E$6+$F$6*_xlfn.NORM.S.INV(RAND()))</f>
        <v>10.9935887877346</v>
      </c>
      <c r="F120" s="27" t="n">
        <f aca="false">1/(1+EXP(-03_Inputs_Assumptions!$B$14*(E120-03_Inputs_Assumptions!$B$5)))</f>
        <v>0.075745893927303</v>
      </c>
      <c r="G120" s="28" t="n">
        <f aca="false">D120*04_Baseline_PnL!$B$15*F120*04_Baseline_PnL!$B$14</f>
        <v>296696.376823212</v>
      </c>
      <c r="H120" s="28" t="n">
        <f aca="false">D120*03_Inputs_Assumptions!$B$13*01_Macro_Data!$B$97*($G$6-1)+D120*04_Baseline_PnL!$B$15*04_Baseline_PnL!$B$13*03_Inputs_Assumptions!$B$15*($H$6-1)</f>
        <v>1673504.24451875</v>
      </c>
      <c r="I120" s="16" t="n">
        <f aca="false">G120+H120</f>
        <v>1970200.62134196</v>
      </c>
    </row>
    <row r="121" customFormat="false" ht="15" hidden="false" customHeight="true" outlineLevel="0" collapsed="false">
      <c r="A121" s="4" t="s">
        <v>302</v>
      </c>
      <c r="B121" s="4" t="n">
        <v>111</v>
      </c>
      <c r="C121" s="24" t="n">
        <f aca="true">RAND()</f>
        <v>0.214815862903889</v>
      </c>
      <c r="D121" s="25" t="n">
        <f aca="false">IF(C121&lt;(($C$6-$B$6)/($D$6-$B$6)),$B$6+SQRT(C121*($D$6-$B$6)*($C$6-$B$6)),$D$6-SQRT((1-C121)*($D$6-$B$6)*($D$6-$C$6)))</f>
        <v>8.54118077583059</v>
      </c>
      <c r="E121" s="26" t="n">
        <f aca="true">MAX(0,$E$6+$F$6*_xlfn.NORM.S.INV(RAND()))</f>
        <v>5.00986632474731</v>
      </c>
      <c r="F121" s="27" t="n">
        <f aca="false">1/(1+EXP(-03_Inputs_Assumptions!$B$14*(E121-03_Inputs_Assumptions!$B$5)))</f>
        <v>0.0180298282978109</v>
      </c>
      <c r="G121" s="28" t="n">
        <f aca="false">D121*04_Baseline_PnL!$B$15*F121*04_Baseline_PnL!$B$14</f>
        <v>44035.0999061954</v>
      </c>
      <c r="H121" s="28" t="n">
        <f aca="false">D121*03_Inputs_Assumptions!$B$13*01_Macro_Data!$B$97*($G$6-1)+D121*04_Baseline_PnL!$B$15*04_Baseline_PnL!$B$13*03_Inputs_Assumptions!$B$15*($H$6-1)</f>
        <v>1043472.63891091</v>
      </c>
      <c r="I121" s="16" t="n">
        <f aca="false">G121+H121</f>
        <v>1087507.73881711</v>
      </c>
    </row>
    <row r="122" customFormat="false" ht="15" hidden="false" customHeight="true" outlineLevel="0" collapsed="false">
      <c r="A122" s="4" t="s">
        <v>302</v>
      </c>
      <c r="B122" s="4" t="n">
        <v>112</v>
      </c>
      <c r="C122" s="24" t="n">
        <f aca="true">RAND()</f>
        <v>0.0469384458591444</v>
      </c>
      <c r="D122" s="25" t="n">
        <f aca="false">IF(C122&lt;(($C$6-$B$6)/($D$6-$B$6)),$B$6+SQRT(C122*($D$6-$B$6)*($C$6-$B$6)),$D$6-SQRT((1-C122)*($D$6-$B$6)*($D$6-$C$6)))</f>
        <v>6.12275547401906</v>
      </c>
      <c r="E122" s="26" t="n">
        <f aca="true">MAX(0,$E$6+$F$6*_xlfn.NORM.S.INV(RAND()))</f>
        <v>12.9442692888091</v>
      </c>
      <c r="F122" s="27" t="n">
        <f aca="false">1/(1+EXP(-03_Inputs_Assumptions!$B$14*(E122-03_Inputs_Assumptions!$B$5)))</f>
        <v>0.117747823821329</v>
      </c>
      <c r="G122" s="28" t="n">
        <f aca="false">D122*04_Baseline_PnL!$B$15*F122*04_Baseline_PnL!$B$14</f>
        <v>206152.822810019</v>
      </c>
      <c r="H122" s="28" t="n">
        <f aca="false">D122*03_Inputs_Assumptions!$B$13*01_Macro_Data!$B$97*($G$6-1)+D122*04_Baseline_PnL!$B$15*04_Baseline_PnL!$B$13*03_Inputs_Assumptions!$B$15*($H$6-1)</f>
        <v>748014.587158719</v>
      </c>
      <c r="I122" s="16" t="n">
        <f aca="false">G122+H122</f>
        <v>954167.409968737</v>
      </c>
    </row>
    <row r="123" customFormat="false" ht="15" hidden="false" customHeight="true" outlineLevel="0" collapsed="false">
      <c r="A123" s="4" t="s">
        <v>302</v>
      </c>
      <c r="B123" s="4" t="n">
        <v>113</v>
      </c>
      <c r="C123" s="24" t="n">
        <f aca="true">RAND()</f>
        <v>0.483563852238207</v>
      </c>
      <c r="D123" s="25" t="n">
        <f aca="false">IF(C123&lt;(($C$6-$B$6)/($D$6-$B$6)),$B$6+SQRT(C123*($D$6-$B$6)*($C$6-$B$6)),$D$6-SQRT((1-C123)*($D$6-$B$6)*($D$6-$C$6)))</f>
        <v>10.909907390907</v>
      </c>
      <c r="E123" s="26" t="n">
        <f aca="true">MAX(0,$E$6+$F$6*_xlfn.NORM.S.INV(RAND()))</f>
        <v>22.0756092023379</v>
      </c>
      <c r="F123" s="27" t="n">
        <f aca="false">1/(1+EXP(-03_Inputs_Assumptions!$B$14*(E123-03_Inputs_Assumptions!$B$5)))</f>
        <v>0.56682340153799</v>
      </c>
      <c r="G123" s="28" t="n">
        <f aca="false">D123*04_Baseline_PnL!$B$15*F123*04_Baseline_PnL!$B$14</f>
        <v>1768309.6513944</v>
      </c>
      <c r="H123" s="28" t="n">
        <f aca="false">D123*03_Inputs_Assumptions!$B$13*01_Macro_Data!$B$97*($G$6-1)+D123*04_Baseline_PnL!$B$15*04_Baseline_PnL!$B$13*03_Inputs_Assumptions!$B$15*($H$6-1)</f>
        <v>1332859.02198415</v>
      </c>
      <c r="I123" s="16" t="n">
        <f aca="false">G123+H123</f>
        <v>3101168.67337855</v>
      </c>
    </row>
    <row r="124" customFormat="false" ht="15" hidden="false" customHeight="true" outlineLevel="0" collapsed="false">
      <c r="A124" s="4" t="s">
        <v>302</v>
      </c>
      <c r="B124" s="4" t="n">
        <v>114</v>
      </c>
      <c r="C124" s="24" t="n">
        <f aca="true">RAND()</f>
        <v>0.0752921675152422</v>
      </c>
      <c r="D124" s="25" t="n">
        <f aca="false">IF(C124&lt;(($C$6-$B$6)/($D$6-$B$6)),$B$6+SQRT(C124*($D$6-$B$6)*($C$6-$B$6)),$D$6-SQRT((1-C124)*($D$6-$B$6)*($D$6-$C$6)))</f>
        <v>6.68850294429135</v>
      </c>
      <c r="E124" s="26" t="n">
        <f aca="true">MAX(0,$E$6+$F$6*_xlfn.NORM.S.INV(RAND()))</f>
        <v>9.44809015387464</v>
      </c>
      <c r="F124" s="27" t="n">
        <f aca="false">1/(1+EXP(-03_Inputs_Assumptions!$B$14*(E124-03_Inputs_Assumptions!$B$5)))</f>
        <v>0.0527510901008121</v>
      </c>
      <c r="G124" s="28" t="n">
        <f aca="false">D124*04_Baseline_PnL!$B$15*F124*04_Baseline_PnL!$B$14</f>
        <v>100890.399698581</v>
      </c>
      <c r="H124" s="28" t="n">
        <f aca="false">D124*03_Inputs_Assumptions!$B$13*01_Macro_Data!$B$97*($G$6-1)+D124*04_Baseline_PnL!$B$15*04_Baseline_PnL!$B$13*03_Inputs_Assumptions!$B$15*($H$6-1)</f>
        <v>817131.729302896</v>
      </c>
      <c r="I124" s="16" t="n">
        <f aca="false">G124+H124</f>
        <v>918022.129001478</v>
      </c>
    </row>
    <row r="125" customFormat="false" ht="15" hidden="false" customHeight="true" outlineLevel="0" collapsed="false">
      <c r="A125" s="4" t="s">
        <v>302</v>
      </c>
      <c r="B125" s="4" t="n">
        <v>115</v>
      </c>
      <c r="C125" s="24" t="n">
        <f aca="true">RAND()</f>
        <v>0.38043029487691</v>
      </c>
      <c r="D125" s="25" t="n">
        <f aca="false">IF(C125&lt;(($C$6-$B$6)/($D$6-$B$6)),$B$6+SQRT(C125*($D$6-$B$6)*($C$6-$B$6)),$D$6-SQRT((1-C125)*($D$6-$B$6)*($D$6-$C$6)))</f>
        <v>10.0435371331133</v>
      </c>
      <c r="E125" s="26" t="n">
        <f aca="true">MAX(0,$E$6+$F$6*_xlfn.NORM.S.INV(RAND()))</f>
        <v>11.3803245788247</v>
      </c>
      <c r="F125" s="27" t="n">
        <f aca="false">1/(1+EXP(-03_Inputs_Assumptions!$B$14*(E125-03_Inputs_Assumptions!$B$5)))</f>
        <v>0.0827983774142253</v>
      </c>
      <c r="G125" s="28" t="n">
        <f aca="false">D125*04_Baseline_PnL!$B$15*F125*04_Baseline_PnL!$B$14</f>
        <v>237792.414641638</v>
      </c>
      <c r="H125" s="28" t="n">
        <f aca="false">D125*03_Inputs_Assumptions!$B$13*01_Macro_Data!$B$97*($G$6-1)+D125*04_Baseline_PnL!$B$15*04_Baseline_PnL!$B$13*03_Inputs_Assumptions!$B$15*($H$6-1)</f>
        <v>1227014.91413759</v>
      </c>
      <c r="I125" s="16" t="n">
        <f aca="false">G125+H125</f>
        <v>1464807.32877923</v>
      </c>
    </row>
    <row r="126" customFormat="false" ht="15" hidden="false" customHeight="true" outlineLevel="0" collapsed="false">
      <c r="A126" s="4" t="s">
        <v>302</v>
      </c>
      <c r="B126" s="4" t="n">
        <v>116</v>
      </c>
      <c r="C126" s="24" t="n">
        <f aca="true">RAND()</f>
        <v>0.529643895524292</v>
      </c>
      <c r="D126" s="25" t="n">
        <f aca="false">IF(C126&lt;(($C$6-$B$6)/($D$6-$B$6)),$B$6+SQRT(C126*($D$6-$B$6)*($C$6-$B$6)),$D$6-SQRT((1-C126)*($D$6-$B$6)*($D$6-$C$6)))</f>
        <v>11.3249220916401</v>
      </c>
      <c r="E126" s="26" t="n">
        <f aca="true">MAX(0,$E$6+$F$6*_xlfn.NORM.S.INV(RAND()))</f>
        <v>8.74643341646133</v>
      </c>
      <c r="F126" s="27" t="n">
        <f aca="false">1/(1+EXP(-03_Inputs_Assumptions!$B$14*(E126-03_Inputs_Assumptions!$B$5)))</f>
        <v>0.0446428262704645</v>
      </c>
      <c r="G126" s="28" t="n">
        <f aca="false">D126*04_Baseline_PnL!$B$15*F126*04_Baseline_PnL!$B$14</f>
        <v>144569.402334625</v>
      </c>
      <c r="H126" s="28" t="n">
        <f aca="false">D126*03_Inputs_Assumptions!$B$13*01_Macro_Data!$B$97*($G$6-1)+D126*04_Baseline_PnL!$B$15*04_Baseline_PnL!$B$13*03_Inputs_Assumptions!$B$15*($H$6-1)</f>
        <v>1383561.20196684</v>
      </c>
      <c r="I126" s="16" t="n">
        <f aca="false">G126+H126</f>
        <v>1528130.60430146</v>
      </c>
    </row>
    <row r="127" customFormat="false" ht="15" hidden="false" customHeight="true" outlineLevel="0" collapsed="false">
      <c r="A127" s="4" t="s">
        <v>302</v>
      </c>
      <c r="B127" s="4" t="n">
        <v>117</v>
      </c>
      <c r="C127" s="24" t="n">
        <f aca="true">RAND()</f>
        <v>0.295647044064892</v>
      </c>
      <c r="D127" s="25" t="n">
        <f aca="false">IF(C127&lt;(($C$6-$B$6)/($D$6-$B$6)),$B$6+SQRT(C127*($D$6-$B$6)*($C$6-$B$6)),$D$6-SQRT((1-C127)*($D$6-$B$6)*($D$6-$C$6)))</f>
        <v>9.3274868587571</v>
      </c>
      <c r="E127" s="26" t="n">
        <f aca="true">MAX(0,$E$6+$F$6*_xlfn.NORM.S.INV(RAND()))</f>
        <v>13.4608332770487</v>
      </c>
      <c r="F127" s="27" t="n">
        <f aca="false">1/(1+EXP(-03_Inputs_Assumptions!$B$14*(E127-03_Inputs_Assumptions!$B$5)))</f>
        <v>0.131839460052503</v>
      </c>
      <c r="G127" s="28" t="n">
        <f aca="false">D127*04_Baseline_PnL!$B$15*F127*04_Baseline_PnL!$B$14</f>
        <v>351641.029448047</v>
      </c>
      <c r="H127" s="28" t="n">
        <f aca="false">D127*03_Inputs_Assumptions!$B$13*01_Macro_Data!$B$97*($G$6-1)+D127*04_Baseline_PnL!$B$15*04_Baseline_PnL!$B$13*03_Inputs_Assumptions!$B$15*($H$6-1)</f>
        <v>1139535.33853961</v>
      </c>
      <c r="I127" s="16" t="n">
        <f aca="false">G127+H127</f>
        <v>1491176.36798766</v>
      </c>
    </row>
    <row r="128" customFormat="false" ht="15" hidden="false" customHeight="true" outlineLevel="0" collapsed="false">
      <c r="A128" s="4" t="s">
        <v>302</v>
      </c>
      <c r="B128" s="4" t="n">
        <v>118</v>
      </c>
      <c r="C128" s="24" t="n">
        <f aca="true">RAND()</f>
        <v>0.345077302051042</v>
      </c>
      <c r="D128" s="25" t="n">
        <f aca="false">IF(C128&lt;(($C$6-$B$6)/($D$6-$B$6)),$B$6+SQRT(C128*($D$6-$B$6)*($C$6-$B$6)),$D$6-SQRT((1-C128)*($D$6-$B$6)*($D$6-$C$6)))</f>
        <v>9.7556425355385</v>
      </c>
      <c r="E128" s="26" t="n">
        <f aca="true">MAX(0,$E$6+$F$6*_xlfn.NORM.S.INV(RAND()))</f>
        <v>10.2873460065037</v>
      </c>
      <c r="F128" s="27" t="n">
        <f aca="false">1/(1+EXP(-03_Inputs_Assumptions!$B$14*(E128-03_Inputs_Assumptions!$B$5)))</f>
        <v>0.0642742408919836</v>
      </c>
      <c r="G128" s="28" t="n">
        <f aca="false">D128*04_Baseline_PnL!$B$15*F128*04_Baseline_PnL!$B$14</f>
        <v>179300.836613431</v>
      </c>
      <c r="H128" s="28" t="n">
        <f aca="false">D128*03_Inputs_Assumptions!$B$13*01_Macro_Data!$B$97*($G$6-1)+D128*04_Baseline_PnL!$B$15*04_Baseline_PnL!$B$13*03_Inputs_Assumptions!$B$15*($H$6-1)</f>
        <v>1191842.94630972</v>
      </c>
      <c r="I128" s="16" t="n">
        <f aca="false">G128+H128</f>
        <v>1371143.78292316</v>
      </c>
    </row>
    <row r="129" customFormat="false" ht="15" hidden="false" customHeight="true" outlineLevel="0" collapsed="false">
      <c r="A129" s="4" t="s">
        <v>302</v>
      </c>
      <c r="B129" s="4" t="n">
        <v>119</v>
      </c>
      <c r="C129" s="24" t="n">
        <f aca="true">RAND()</f>
        <v>0.346697573762443</v>
      </c>
      <c r="D129" s="25" t="n">
        <f aca="false">IF(C129&lt;(($C$6-$B$6)/($D$6-$B$6)),$B$6+SQRT(C129*($D$6-$B$6)*($C$6-$B$6)),$D$6-SQRT((1-C129)*($D$6-$B$6)*($D$6-$C$6)))</f>
        <v>9.76913919759218</v>
      </c>
      <c r="E129" s="26" t="n">
        <f aca="true">MAX(0,$E$6+$F$6*_xlfn.NORM.S.INV(RAND()))</f>
        <v>14.4963075413282</v>
      </c>
      <c r="F129" s="27" t="n">
        <f aca="false">1/(1+EXP(-03_Inputs_Assumptions!$B$14*(E129-03_Inputs_Assumptions!$B$5)))</f>
        <v>0.164389619341506</v>
      </c>
      <c r="G129" s="28" t="n">
        <f aca="false">D129*04_Baseline_PnL!$B$15*F129*04_Baseline_PnL!$B$14</f>
        <v>459219.338711693</v>
      </c>
      <c r="H129" s="28" t="n">
        <f aca="false">D129*03_Inputs_Assumptions!$B$13*01_Macro_Data!$B$97*($G$6-1)+D129*04_Baseline_PnL!$B$15*04_Baseline_PnL!$B$13*03_Inputs_Assumptions!$B$15*($H$6-1)</f>
        <v>1193491.82811416</v>
      </c>
      <c r="I129" s="16" t="n">
        <f aca="false">G129+H129</f>
        <v>1652711.16682585</v>
      </c>
    </row>
    <row r="130" customFormat="false" ht="15" hidden="false" customHeight="true" outlineLevel="0" collapsed="false">
      <c r="A130" s="4" t="s">
        <v>302</v>
      </c>
      <c r="B130" s="4" t="n">
        <v>120</v>
      </c>
      <c r="C130" s="24" t="n">
        <f aca="true">RAND()</f>
        <v>0.86284369732775</v>
      </c>
      <c r="D130" s="25" t="n">
        <f aca="false">IF(C130&lt;(($C$6-$B$6)/($D$6-$B$6)),$B$6+SQRT(C130*($D$6-$B$6)*($C$6-$B$6)),$D$6-SQRT((1-C130)*($D$6-$B$6)*($D$6-$C$6)))</f>
        <v>15.3154500293454</v>
      </c>
      <c r="E130" s="26" t="n">
        <f aca="true">MAX(0,$E$6+$F$6*_xlfn.NORM.S.INV(RAND()))</f>
        <v>11.4529351246106</v>
      </c>
      <c r="F130" s="27" t="n">
        <f aca="false">1/(1+EXP(-03_Inputs_Assumptions!$B$14*(E130-03_Inputs_Assumptions!$B$5)))</f>
        <v>0.084187421078992</v>
      </c>
      <c r="G130" s="28" t="n">
        <f aca="false">D130*04_Baseline_PnL!$B$15*F130*04_Baseline_PnL!$B$14</f>
        <v>368694.322372064</v>
      </c>
      <c r="H130" s="28" t="n">
        <f aca="false">D130*03_Inputs_Assumptions!$B$13*01_Macro_Data!$B$97*($G$6-1)+D130*04_Baseline_PnL!$B$15*04_Baseline_PnL!$B$13*03_Inputs_Assumptions!$B$15*($H$6-1)</f>
        <v>1871082.40390512</v>
      </c>
      <c r="I130" s="16" t="n">
        <f aca="false">G130+H130</f>
        <v>2239776.72627718</v>
      </c>
    </row>
    <row r="131" customFormat="false" ht="15" hidden="false" customHeight="true" outlineLevel="0" collapsed="false">
      <c r="A131" s="4" t="s">
        <v>302</v>
      </c>
      <c r="B131" s="4" t="n">
        <v>121</v>
      </c>
      <c r="C131" s="24" t="n">
        <f aca="true">RAND()</f>
        <v>0.0566051000121578</v>
      </c>
      <c r="D131" s="25" t="n">
        <f aca="false">IF(C131&lt;(($C$6-$B$6)/($D$6-$B$6)),$B$6+SQRT(C131*($D$6-$B$6)*($C$6-$B$6)),$D$6-SQRT((1-C131)*($D$6-$B$6)*($D$6-$C$6)))</f>
        <v>6.33111338230622</v>
      </c>
      <c r="E131" s="26" t="n">
        <f aca="true">MAX(0,$E$6+$F$6*_xlfn.NORM.S.INV(RAND()))</f>
        <v>13.3674534993405</v>
      </c>
      <c r="F131" s="27" t="n">
        <f aca="false">1/(1+EXP(-03_Inputs_Assumptions!$B$14*(E131-03_Inputs_Assumptions!$B$5)))</f>
        <v>0.129190337370892</v>
      </c>
      <c r="G131" s="28" t="n">
        <f aca="false">D131*04_Baseline_PnL!$B$15*F131*04_Baseline_PnL!$B$14</f>
        <v>233883.511076165</v>
      </c>
      <c r="H131" s="28" t="n">
        <f aca="false">D131*03_Inputs_Assumptions!$B$13*01_Macro_Data!$B$97*($G$6-1)+D131*04_Baseline_PnL!$B$15*04_Baseline_PnL!$B$13*03_Inputs_Assumptions!$B$15*($H$6-1)</f>
        <v>773469.589470998</v>
      </c>
      <c r="I131" s="16" t="n">
        <f aca="false">G131+H131</f>
        <v>1007353.10054716</v>
      </c>
    </row>
    <row r="132" customFormat="false" ht="15" hidden="false" customHeight="true" outlineLevel="0" collapsed="false">
      <c r="A132" s="4" t="s">
        <v>302</v>
      </c>
      <c r="B132" s="4" t="n">
        <v>122</v>
      </c>
      <c r="C132" s="24" t="n">
        <f aca="true">RAND()</f>
        <v>0.21781054971987</v>
      </c>
      <c r="D132" s="25" t="n">
        <f aca="false">IF(C132&lt;(($C$6-$B$6)/($D$6-$B$6)),$B$6+SQRT(C132*($D$6-$B$6)*($C$6-$B$6)),$D$6-SQRT((1-C132)*($D$6-$B$6)*($D$6-$C$6)))</f>
        <v>8.57272487397913</v>
      </c>
      <c r="E132" s="26" t="n">
        <f aca="true">MAX(0,$E$6+$F$6*_xlfn.NORM.S.INV(RAND()))</f>
        <v>15.4739506699762</v>
      </c>
      <c r="F132" s="27" t="n">
        <f aca="false">1/(1+EXP(-03_Inputs_Assumptions!$B$14*(E132-03_Inputs_Assumptions!$B$5)))</f>
        <v>0.200766222347234</v>
      </c>
      <c r="G132" s="28" t="n">
        <f aca="false">D132*04_Baseline_PnL!$B$15*F132*04_Baseline_PnL!$B$14</f>
        <v>492151.728356241</v>
      </c>
      <c r="H132" s="28" t="n">
        <f aca="false">D132*03_Inputs_Assumptions!$B$13*01_Macro_Data!$B$97*($G$6-1)+D132*04_Baseline_PnL!$B$15*04_Baseline_PnL!$B$13*03_Inputs_Assumptions!$B$15*($H$6-1)</f>
        <v>1047326.36876408</v>
      </c>
      <c r="I132" s="16" t="n">
        <f aca="false">G132+H132</f>
        <v>1539478.09712032</v>
      </c>
    </row>
    <row r="133" customFormat="false" ht="15" hidden="false" customHeight="true" outlineLevel="0" collapsed="false">
      <c r="A133" s="4" t="s">
        <v>302</v>
      </c>
      <c r="B133" s="4" t="n">
        <v>123</v>
      </c>
      <c r="C133" s="24" t="n">
        <f aca="true">RAND()</f>
        <v>0.419975153594618</v>
      </c>
      <c r="D133" s="25" t="n">
        <f aca="false">IF(C133&lt;(($C$6-$B$6)/($D$6-$B$6)),$B$6+SQRT(C133*($D$6-$B$6)*($C$6-$B$6)),$D$6-SQRT((1-C133)*($D$6-$B$6)*($D$6-$C$6)))</f>
        <v>10.3665180010102</v>
      </c>
      <c r="E133" s="26" t="n">
        <f aca="true">MAX(0,$E$6+$F$6*_xlfn.NORM.S.INV(RAND()))</f>
        <v>8.15916575575189</v>
      </c>
      <c r="F133" s="27" t="n">
        <f aca="false">1/(1+EXP(-03_Inputs_Assumptions!$B$14*(E133-03_Inputs_Assumptions!$B$5)))</f>
        <v>0.0387833587207127</v>
      </c>
      <c r="G133" s="28" t="n">
        <f aca="false">D133*04_Baseline_PnL!$B$15*F133*04_Baseline_PnL!$B$14</f>
        <v>114965.572039594</v>
      </c>
      <c r="H133" s="28" t="n">
        <f aca="false">D133*03_Inputs_Assumptions!$B$13*01_Macro_Data!$B$97*($G$6-1)+D133*04_Baseline_PnL!$B$15*04_Baseline_PnL!$B$13*03_Inputs_Assumptions!$B$15*($H$6-1)</f>
        <v>1266473.35757621</v>
      </c>
      <c r="I133" s="16" t="n">
        <f aca="false">G133+H133</f>
        <v>1381438.92961581</v>
      </c>
    </row>
    <row r="134" customFormat="false" ht="15" hidden="false" customHeight="true" outlineLevel="0" collapsed="false">
      <c r="A134" s="4" t="s">
        <v>302</v>
      </c>
      <c r="B134" s="4" t="n">
        <v>124</v>
      </c>
      <c r="C134" s="24" t="n">
        <f aca="true">RAND()</f>
        <v>0.428717502272141</v>
      </c>
      <c r="D134" s="25" t="n">
        <f aca="false">IF(C134&lt;(($C$6-$B$6)/($D$6-$B$6)),$B$6+SQRT(C134*($D$6-$B$6)*($C$6-$B$6)),$D$6-SQRT((1-C134)*($D$6-$B$6)*($D$6-$C$6)))</f>
        <v>10.4393933437016</v>
      </c>
      <c r="E134" s="26" t="n">
        <f aca="true">MAX(0,$E$6+$F$6*_xlfn.NORM.S.INV(RAND()))</f>
        <v>14.3640938953978</v>
      </c>
      <c r="F134" s="27" t="n">
        <f aca="false">1/(1+EXP(-03_Inputs_Assumptions!$B$14*(E134-03_Inputs_Assumptions!$B$5)))</f>
        <v>0.159899433976897</v>
      </c>
      <c r="G134" s="28" t="n">
        <f aca="false">D134*04_Baseline_PnL!$B$15*F134*04_Baseline_PnL!$B$14</f>
        <v>477322.239124445</v>
      </c>
      <c r="H134" s="28" t="n">
        <f aca="false">D134*03_Inputs_Assumptions!$B$13*01_Macro_Data!$B$97*($G$6-1)+D134*04_Baseline_PnL!$B$15*04_Baseline_PnL!$B$13*03_Inputs_Assumptions!$B$15*($H$6-1)</f>
        <v>1275376.50904269</v>
      </c>
      <c r="I134" s="16" t="n">
        <f aca="false">G134+H134</f>
        <v>1752698.74816713</v>
      </c>
    </row>
    <row r="135" customFormat="false" ht="15" hidden="false" customHeight="true" outlineLevel="0" collapsed="false">
      <c r="A135" s="4" t="s">
        <v>302</v>
      </c>
      <c r="B135" s="4" t="n">
        <v>125</v>
      </c>
      <c r="C135" s="24" t="n">
        <f aca="true">RAND()</f>
        <v>0.605120955886332</v>
      </c>
      <c r="D135" s="25" t="n">
        <f aca="false">IF(C135&lt;(($C$6-$B$6)/($D$6-$B$6)),$B$6+SQRT(C135*($D$6-$B$6)*($C$6-$B$6)),$D$6-SQRT((1-C135)*($D$6-$B$6)*($D$6-$C$6)))</f>
        <v>12.05137451768</v>
      </c>
      <c r="E135" s="26" t="n">
        <f aca="true">MAX(0,$E$6+$F$6*_xlfn.NORM.S.INV(RAND()))</f>
        <v>17.4775559773022</v>
      </c>
      <c r="F135" s="27" t="n">
        <f aca="false">1/(1+EXP(-03_Inputs_Assumptions!$B$14*(E135-03_Inputs_Assumptions!$B$5)))</f>
        <v>0.293051179521219</v>
      </c>
      <c r="G135" s="28" t="n">
        <f aca="false">D135*04_Baseline_PnL!$B$15*F135*04_Baseline_PnL!$B$14</f>
        <v>1009879.4576067</v>
      </c>
      <c r="H135" s="28" t="n">
        <f aca="false">D135*03_Inputs_Assumptions!$B$13*01_Macro_Data!$B$97*($G$6-1)+D135*04_Baseline_PnL!$B$15*04_Baseline_PnL!$B$13*03_Inputs_Assumptions!$B$15*($H$6-1)</f>
        <v>1472311.60427516</v>
      </c>
      <c r="I135" s="16" t="n">
        <f aca="false">G135+H135</f>
        <v>2482191.06188186</v>
      </c>
    </row>
    <row r="136" customFormat="false" ht="15" hidden="false" customHeight="true" outlineLevel="0" collapsed="false">
      <c r="A136" s="4" t="s">
        <v>302</v>
      </c>
      <c r="B136" s="4" t="n">
        <v>126</v>
      </c>
      <c r="C136" s="24" t="n">
        <f aca="true">RAND()</f>
        <v>0.295503733444649</v>
      </c>
      <c r="D136" s="25" t="n">
        <f aca="false">IF(C136&lt;(($C$6-$B$6)/($D$6-$B$6)),$B$6+SQRT(C136*($D$6-$B$6)*($C$6-$B$6)),$D$6-SQRT((1-C136)*($D$6-$B$6)*($D$6-$C$6)))</f>
        <v>9.32619549121944</v>
      </c>
      <c r="E136" s="26" t="n">
        <f aca="true">MAX(0,$E$6+$F$6*_xlfn.NORM.S.INV(RAND()))</f>
        <v>15.7231140569836</v>
      </c>
      <c r="F136" s="27" t="n">
        <f aca="false">1/(1+EXP(-03_Inputs_Assumptions!$B$14*(E136-03_Inputs_Assumptions!$B$5)))</f>
        <v>0.210947847120799</v>
      </c>
      <c r="G136" s="28" t="n">
        <f aca="false">D136*04_Baseline_PnL!$B$15*F136*04_Baseline_PnL!$B$14</f>
        <v>562560.316480055</v>
      </c>
      <c r="H136" s="28" t="n">
        <f aca="false">D136*03_Inputs_Assumptions!$B$13*01_Macro_Data!$B$97*($G$6-1)+D136*04_Baseline_PnL!$B$15*04_Baseline_PnL!$B$13*03_Inputs_Assumptions!$B$15*($H$6-1)</f>
        <v>1139377.57268408</v>
      </c>
      <c r="I136" s="16" t="n">
        <f aca="false">G136+H136</f>
        <v>1701937.88916414</v>
      </c>
    </row>
    <row r="137" customFormat="false" ht="15" hidden="false" customHeight="true" outlineLevel="0" collapsed="false">
      <c r="A137" s="4" t="s">
        <v>302</v>
      </c>
      <c r="B137" s="4" t="n">
        <v>127</v>
      </c>
      <c r="C137" s="24" t="n">
        <f aca="true">RAND()</f>
        <v>0.0484793051810605</v>
      </c>
      <c r="D137" s="25" t="n">
        <f aca="false">IF(C137&lt;(($C$6-$B$6)/($D$6-$B$6)),$B$6+SQRT(C137*($D$6-$B$6)*($C$6-$B$6)),$D$6-SQRT((1-C137)*($D$6-$B$6)*($D$6-$C$6)))</f>
        <v>6.15731622563356</v>
      </c>
      <c r="E137" s="26" t="n">
        <f aca="true">MAX(0,$E$6+$F$6*_xlfn.NORM.S.INV(RAND()))</f>
        <v>12.7437850363097</v>
      </c>
      <c r="F137" s="27" t="n">
        <f aca="false">1/(1+EXP(-03_Inputs_Assumptions!$B$14*(E137-03_Inputs_Assumptions!$B$5)))</f>
        <v>0.112640012903345</v>
      </c>
      <c r="G137" s="28" t="n">
        <f aca="false">D137*04_Baseline_PnL!$B$15*F137*04_Baseline_PnL!$B$14</f>
        <v>198323.250255957</v>
      </c>
      <c r="H137" s="28" t="n">
        <f aca="false">D137*03_Inputs_Assumptions!$B$13*01_Macro_Data!$B$97*($G$6-1)+D137*04_Baseline_PnL!$B$15*04_Baseline_PnL!$B$13*03_Inputs_Assumptions!$B$15*($H$6-1)</f>
        <v>752236.860359161</v>
      </c>
      <c r="I137" s="16" t="n">
        <f aca="false">G137+H137</f>
        <v>950560.110615118</v>
      </c>
    </row>
    <row r="138" customFormat="false" ht="15" hidden="false" customHeight="true" outlineLevel="0" collapsed="false">
      <c r="A138" s="4" t="s">
        <v>302</v>
      </c>
      <c r="B138" s="4" t="n">
        <v>128</v>
      </c>
      <c r="C138" s="24" t="n">
        <f aca="true">RAND()</f>
        <v>0.367723269011114</v>
      </c>
      <c r="D138" s="25" t="n">
        <f aca="false">IF(C138&lt;(($C$6-$B$6)/($D$6-$B$6)),$B$6+SQRT(C138*($D$6-$B$6)*($C$6-$B$6)),$D$6-SQRT((1-C138)*($D$6-$B$6)*($D$6-$C$6)))</f>
        <v>9.94150097408618</v>
      </c>
      <c r="E138" s="26" t="n">
        <f aca="true">MAX(0,$E$6+$F$6*_xlfn.NORM.S.INV(RAND()))</f>
        <v>12.5842083823205</v>
      </c>
      <c r="F138" s="27" t="n">
        <f aca="false">1/(1+EXP(-03_Inputs_Assumptions!$B$14*(E138-03_Inputs_Assumptions!$B$5)))</f>
        <v>0.108713697543511</v>
      </c>
      <c r="G138" s="28" t="n">
        <f aca="false">D138*04_Baseline_PnL!$B$15*F138*04_Baseline_PnL!$B$14</f>
        <v>309047.836584376</v>
      </c>
      <c r="H138" s="28" t="n">
        <f aca="false">D138*03_Inputs_Assumptions!$B$13*01_Macro_Data!$B$97*($G$6-1)+D138*04_Baseline_PnL!$B$15*04_Baseline_PnL!$B$13*03_Inputs_Assumptions!$B$15*($H$6-1)</f>
        <v>1214549.19740372</v>
      </c>
      <c r="I138" s="16" t="n">
        <f aca="false">G138+H138</f>
        <v>1523597.03398809</v>
      </c>
    </row>
    <row r="139" customFormat="false" ht="15" hidden="false" customHeight="true" outlineLevel="0" collapsed="false">
      <c r="A139" s="4" t="s">
        <v>302</v>
      </c>
      <c r="B139" s="4" t="n">
        <v>129</v>
      </c>
      <c r="C139" s="24" t="n">
        <f aca="true">RAND()</f>
        <v>0.154816340042898</v>
      </c>
      <c r="D139" s="25" t="n">
        <f aca="false">IF(C139&lt;(($C$6-$B$6)/($D$6-$B$6)),$B$6+SQRT(C139*($D$6-$B$6)*($C$6-$B$6)),$D$6-SQRT((1-C139)*($D$6-$B$6)*($D$6-$C$6)))</f>
        <v>7.85517426896868</v>
      </c>
      <c r="E139" s="26" t="n">
        <f aca="true">MAX(0,$E$6+$F$6*_xlfn.NORM.S.INV(RAND()))</f>
        <v>11.6571082233328</v>
      </c>
      <c r="F139" s="27" t="n">
        <f aca="false">1/(1+EXP(-03_Inputs_Assumptions!$B$14*(E139-03_Inputs_Assumptions!$B$5)))</f>
        <v>0.0882072993092212</v>
      </c>
      <c r="G139" s="28" t="n">
        <f aca="false">D139*04_Baseline_PnL!$B$15*F139*04_Baseline_PnL!$B$14</f>
        <v>198129.813581916</v>
      </c>
      <c r="H139" s="28" t="n">
        <f aca="false">D139*03_Inputs_Assumptions!$B$13*01_Macro_Data!$B$97*($G$6-1)+D139*04_Baseline_PnL!$B$15*04_Baseline_PnL!$B$13*03_Inputs_Assumptions!$B$15*($H$6-1)</f>
        <v>959663.498370196</v>
      </c>
      <c r="I139" s="16" t="n">
        <f aca="false">G139+H139</f>
        <v>1157793.31195211</v>
      </c>
    </row>
    <row r="140" customFormat="false" ht="15" hidden="false" customHeight="true" outlineLevel="0" collapsed="false">
      <c r="A140" s="4" t="s">
        <v>302</v>
      </c>
      <c r="B140" s="4" t="n">
        <v>130</v>
      </c>
      <c r="C140" s="24" t="n">
        <f aca="true">RAND()</f>
        <v>0.677448501136864</v>
      </c>
      <c r="D140" s="25" t="n">
        <f aca="false">IF(C140&lt;(($C$6-$B$6)/($D$6-$B$6)),$B$6+SQRT(C140*($D$6-$B$6)*($C$6-$B$6)),$D$6-SQRT((1-C140)*($D$6-$B$6)*($D$6-$C$6)))</f>
        <v>12.816112485701</v>
      </c>
      <c r="E140" s="26" t="n">
        <f aca="true">MAX(0,$E$6+$F$6*_xlfn.NORM.S.INV(RAND()))</f>
        <v>10.0225578297394</v>
      </c>
      <c r="F140" s="27" t="n">
        <f aca="false">1/(1+EXP(-03_Inputs_Assumptions!$B$14*(E140-03_Inputs_Assumptions!$B$5)))</f>
        <v>0.0604059368150438</v>
      </c>
      <c r="G140" s="28" t="n">
        <f aca="false">D140*04_Baseline_PnL!$B$15*F140*04_Baseline_PnL!$B$14</f>
        <v>221373.390063133</v>
      </c>
      <c r="H140" s="28" t="n">
        <f aca="false">D140*03_Inputs_Assumptions!$B$13*01_Macro_Data!$B$97*($G$6-1)+D140*04_Baseline_PnL!$B$15*04_Baseline_PnL!$B$13*03_Inputs_Assumptions!$B$15*($H$6-1)</f>
        <v>1565739.33593309</v>
      </c>
      <c r="I140" s="16" t="n">
        <f aca="false">G140+H140</f>
        <v>1787112.72599622</v>
      </c>
    </row>
    <row r="141" customFormat="false" ht="15" hidden="false" customHeight="true" outlineLevel="0" collapsed="false">
      <c r="A141" s="4" t="s">
        <v>302</v>
      </c>
      <c r="B141" s="4" t="n">
        <v>131</v>
      </c>
      <c r="C141" s="24" t="n">
        <f aca="true">RAND()</f>
        <v>0.905244083650207</v>
      </c>
      <c r="D141" s="25" t="n">
        <f aca="false">IF(C141&lt;(($C$6-$B$6)/($D$6-$B$6)),$B$6+SQRT(C141*($D$6-$B$6)*($C$6-$B$6)),$D$6-SQRT((1-C141)*($D$6-$B$6)*($D$6-$C$6)))</f>
        <v>16.1062939741209</v>
      </c>
      <c r="E141" s="26" t="n">
        <f aca="true">MAX(0,$E$6+$F$6*_xlfn.NORM.S.INV(RAND()))</f>
        <v>14.5719630368867</v>
      </c>
      <c r="F141" s="27" t="n">
        <f aca="false">1/(1+EXP(-03_Inputs_Assumptions!$B$14*(E141-03_Inputs_Assumptions!$B$5)))</f>
        <v>0.167004255305796</v>
      </c>
      <c r="G141" s="28" t="n">
        <f aca="false">D141*04_Baseline_PnL!$B$15*F141*04_Baseline_PnL!$B$14</f>
        <v>769152.826056681</v>
      </c>
      <c r="H141" s="28" t="n">
        <f aca="false">D141*03_Inputs_Assumptions!$B$13*01_Macro_Data!$B$97*($G$6-1)+D141*04_Baseline_PnL!$B$15*04_Baseline_PnL!$B$13*03_Inputs_Assumptions!$B$15*($H$6-1)</f>
        <v>1967699.49230076</v>
      </c>
      <c r="I141" s="16" t="n">
        <f aca="false">G141+H141</f>
        <v>2736852.31835745</v>
      </c>
    </row>
    <row r="142" customFormat="false" ht="15" hidden="false" customHeight="true" outlineLevel="0" collapsed="false">
      <c r="A142" s="4" t="s">
        <v>302</v>
      </c>
      <c r="B142" s="4" t="n">
        <v>132</v>
      </c>
      <c r="C142" s="24" t="n">
        <f aca="true">RAND()</f>
        <v>0.97897562306369</v>
      </c>
      <c r="D142" s="25" t="n">
        <f aca="false">IF(C142&lt;(($C$6-$B$6)/($D$6-$B$6)),$B$6+SQRT(C142*($D$6-$B$6)*($C$6-$B$6)),$D$6-SQRT((1-C142)*($D$6-$B$6)*($D$6-$C$6)))</f>
        <v>18.1659061338607</v>
      </c>
      <c r="E142" s="26" t="n">
        <f aca="true">MAX(0,$E$6+$F$6*_xlfn.NORM.S.INV(RAND()))</f>
        <v>14.7765255299981</v>
      </c>
      <c r="F142" s="27" t="n">
        <f aca="false">1/(1+EXP(-03_Inputs_Assumptions!$B$14*(E142-03_Inputs_Assumptions!$B$5)))</f>
        <v>0.174240273044246</v>
      </c>
      <c r="G142" s="28" t="n">
        <f aca="false">D142*04_Baseline_PnL!$B$15*F142*04_Baseline_PnL!$B$14</f>
        <v>905096.926253758</v>
      </c>
      <c r="H142" s="28" t="n">
        <f aca="false">D142*03_Inputs_Assumptions!$B$13*01_Macro_Data!$B$97*($G$6-1)+D142*04_Baseline_PnL!$B$15*04_Baseline_PnL!$B$13*03_Inputs_Assumptions!$B$15*($H$6-1)</f>
        <v>2219321.48601131</v>
      </c>
      <c r="I142" s="16" t="n">
        <f aca="false">G142+H142</f>
        <v>3124418.41226507</v>
      </c>
    </row>
    <row r="143" customFormat="false" ht="15" hidden="false" customHeight="true" outlineLevel="0" collapsed="false">
      <c r="A143" s="4" t="s">
        <v>302</v>
      </c>
      <c r="B143" s="4" t="n">
        <v>133</v>
      </c>
      <c r="C143" s="24" t="n">
        <f aca="true">RAND()</f>
        <v>0.0989567438813904</v>
      </c>
      <c r="D143" s="25" t="n">
        <f aca="false">IF(C143&lt;(($C$6-$B$6)/($D$6-$B$6)),$B$6+SQRT(C143*($D$6-$B$6)*($C$6-$B$6)),$D$6-SQRT((1-C143)*($D$6-$B$6)*($D$6-$C$6)))</f>
        <v>7.08218224844241</v>
      </c>
      <c r="E143" s="26" t="n">
        <f aca="true">MAX(0,$E$6+$F$6*_xlfn.NORM.S.INV(RAND()))</f>
        <v>16.3231282195312</v>
      </c>
      <c r="F143" s="27" t="n">
        <f aca="false">1/(1+EXP(-03_Inputs_Assumptions!$B$14*(E143-03_Inputs_Assumptions!$B$5)))</f>
        <v>0.236996373459232</v>
      </c>
      <c r="G143" s="28" t="n">
        <f aca="false">D143*04_Baseline_PnL!$B$15*F143*04_Baseline_PnL!$B$14</f>
        <v>479952.524239254</v>
      </c>
      <c r="H143" s="28" t="n">
        <f aca="false">D143*03_Inputs_Assumptions!$B$13*01_Macro_Data!$B$97*($G$6-1)+D143*04_Baseline_PnL!$B$15*04_Baseline_PnL!$B$13*03_Inputs_Assumptions!$B$15*($H$6-1)</f>
        <v>865227.372419309</v>
      </c>
      <c r="I143" s="16" t="n">
        <f aca="false">G143+H143</f>
        <v>1345179.89665856</v>
      </c>
    </row>
    <row r="144" customFormat="false" ht="15" hidden="false" customHeight="true" outlineLevel="0" collapsed="false">
      <c r="A144" s="4" t="s">
        <v>302</v>
      </c>
      <c r="B144" s="4" t="n">
        <v>134</v>
      </c>
      <c r="C144" s="24" t="n">
        <f aca="true">RAND()</f>
        <v>0.393067794375325</v>
      </c>
      <c r="D144" s="25" t="n">
        <f aca="false">IF(C144&lt;(($C$6-$B$6)/($D$6-$B$6)),$B$6+SQRT(C144*($D$6-$B$6)*($C$6-$B$6)),$D$6-SQRT((1-C144)*($D$6-$B$6)*($D$6-$C$6)))</f>
        <v>10.1456023573255</v>
      </c>
      <c r="E144" s="26" t="n">
        <f aca="true">MAX(0,$E$6+$F$6*_xlfn.NORM.S.INV(RAND()))</f>
        <v>13.747929232289</v>
      </c>
      <c r="F144" s="27" t="n">
        <f aca="false">1/(1+EXP(-03_Inputs_Assumptions!$B$14*(E144-03_Inputs_Assumptions!$B$5)))</f>
        <v>0.140273805735598</v>
      </c>
      <c r="G144" s="28" t="n">
        <f aca="false">D144*04_Baseline_PnL!$B$15*F144*04_Baseline_PnL!$B$14</f>
        <v>406952.665949106</v>
      </c>
      <c r="H144" s="28" t="n">
        <f aca="false">D144*03_Inputs_Assumptions!$B$13*01_Macro_Data!$B$97*($G$6-1)+D144*04_Baseline_PnL!$B$15*04_Baseline_PnL!$B$13*03_Inputs_Assumptions!$B$15*($H$6-1)</f>
        <v>1239484.18175352</v>
      </c>
      <c r="I144" s="16" t="n">
        <f aca="false">G144+H144</f>
        <v>1646436.84770262</v>
      </c>
    </row>
    <row r="145" customFormat="false" ht="15" hidden="false" customHeight="true" outlineLevel="0" collapsed="false">
      <c r="A145" s="4" t="s">
        <v>302</v>
      </c>
      <c r="B145" s="4" t="n">
        <v>135</v>
      </c>
      <c r="C145" s="24" t="n">
        <f aca="true">RAND()</f>
        <v>0.148426907872137</v>
      </c>
      <c r="D145" s="25" t="n">
        <f aca="false">IF(C145&lt;(($C$6-$B$6)/($D$6-$B$6)),$B$6+SQRT(C145*($D$6-$B$6)*($C$6-$B$6)),$D$6-SQRT((1-C145)*($D$6-$B$6)*($D$6-$C$6)))</f>
        <v>7.77478253091819</v>
      </c>
      <c r="E145" s="26" t="n">
        <f aca="true">MAX(0,$E$6+$F$6*_xlfn.NORM.S.INV(RAND()))</f>
        <v>12.5253797815968</v>
      </c>
      <c r="F145" s="27" t="n">
        <f aca="false">1/(1+EXP(-03_Inputs_Assumptions!$B$14*(E145-03_Inputs_Assumptions!$B$5)))</f>
        <v>0.107296827005728</v>
      </c>
      <c r="G145" s="28" t="n">
        <f aca="false">D145*04_Baseline_PnL!$B$15*F145*04_Baseline_PnL!$B$14</f>
        <v>238541.865104703</v>
      </c>
      <c r="H145" s="28" t="n">
        <f aca="false">D145*03_Inputs_Assumptions!$B$13*01_Macro_Data!$B$97*($G$6-1)+D145*04_Baseline_PnL!$B$15*04_Baseline_PnL!$B$13*03_Inputs_Assumptions!$B$15*($H$6-1)</f>
        <v>949842.071889263</v>
      </c>
      <c r="I145" s="16" t="n">
        <f aca="false">G145+H145</f>
        <v>1188383.93699397</v>
      </c>
    </row>
    <row r="146" customFormat="false" ht="15" hidden="false" customHeight="true" outlineLevel="0" collapsed="false">
      <c r="A146" s="4" t="s">
        <v>302</v>
      </c>
      <c r="B146" s="4" t="n">
        <v>136</v>
      </c>
      <c r="C146" s="24" t="n">
        <f aca="true">RAND()</f>
        <v>0.792029843912902</v>
      </c>
      <c r="D146" s="25" t="n">
        <f aca="false">IF(C146&lt;(($C$6-$B$6)/($D$6-$B$6)),$B$6+SQRT(C146*($D$6-$B$6)*($C$6-$B$6)),$D$6-SQRT((1-C146)*($D$6-$B$6)*($D$6-$C$6)))</f>
        <v>14.2315318347125</v>
      </c>
      <c r="E146" s="26" t="n">
        <f aca="true">MAX(0,$E$6+$F$6*_xlfn.NORM.S.INV(RAND()))</f>
        <v>17.0312836930406</v>
      </c>
      <c r="F146" s="27" t="n">
        <f aca="false">1/(1+EXP(-03_Inputs_Assumptions!$B$14*(E146-03_Inputs_Assumptions!$B$5)))</f>
        <v>0.27048188411681</v>
      </c>
      <c r="G146" s="28" t="n">
        <f aca="false">D146*04_Baseline_PnL!$B$15*F146*04_Baseline_PnL!$B$14</f>
        <v>1100726.22268633</v>
      </c>
      <c r="H146" s="28" t="n">
        <f aca="false">D146*03_Inputs_Assumptions!$B$13*01_Macro_Data!$B$97*($G$6-1)+D146*04_Baseline_PnL!$B$15*04_Baseline_PnL!$B$13*03_Inputs_Assumptions!$B$15*($H$6-1)</f>
        <v>1738660.55163409</v>
      </c>
      <c r="I146" s="16" t="n">
        <f aca="false">G146+H146</f>
        <v>2839386.77432042</v>
      </c>
    </row>
    <row r="147" customFormat="false" ht="15" hidden="false" customHeight="true" outlineLevel="0" collapsed="false">
      <c r="A147" s="4" t="s">
        <v>302</v>
      </c>
      <c r="B147" s="4" t="n">
        <v>137</v>
      </c>
      <c r="C147" s="24" t="n">
        <f aca="true">RAND()</f>
        <v>0.111589221354067</v>
      </c>
      <c r="D147" s="25" t="n">
        <f aca="false">IF(C147&lt;(($C$6-$B$6)/($D$6-$B$6)),$B$6+SQRT(C147*($D$6-$B$6)*($C$6-$B$6)),$D$6-SQRT((1-C147)*($D$6-$B$6)*($D$6-$C$6)))</f>
        <v>7.27300553772681</v>
      </c>
      <c r="E147" s="26" t="n">
        <f aca="true">MAX(0,$E$6+$F$6*_xlfn.NORM.S.INV(RAND()))</f>
        <v>13.6086590491658</v>
      </c>
      <c r="F147" s="27" t="n">
        <f aca="false">1/(1+EXP(-03_Inputs_Assumptions!$B$14*(E147-03_Inputs_Assumptions!$B$5)))</f>
        <v>0.136127265300966</v>
      </c>
      <c r="G147" s="28" t="n">
        <f aca="false">D147*04_Baseline_PnL!$B$15*F147*04_Baseline_PnL!$B$14</f>
        <v>283105.638708831</v>
      </c>
      <c r="H147" s="28" t="n">
        <f aca="false">D147*03_Inputs_Assumptions!$B$13*01_Macro_Data!$B$97*($G$6-1)+D147*04_Baseline_PnL!$B$15*04_Baseline_PnL!$B$13*03_Inputs_Assumptions!$B$15*($H$6-1)</f>
        <v>888540.17734187</v>
      </c>
      <c r="I147" s="16" t="n">
        <f aca="false">G147+H147</f>
        <v>1171645.8160507</v>
      </c>
    </row>
    <row r="148" customFormat="false" ht="15" hidden="false" customHeight="true" outlineLevel="0" collapsed="false">
      <c r="A148" s="4" t="s">
        <v>302</v>
      </c>
      <c r="B148" s="4" t="n">
        <v>138</v>
      </c>
      <c r="C148" s="24" t="n">
        <f aca="true">RAND()</f>
        <v>0.317105833315612</v>
      </c>
      <c r="D148" s="25" t="n">
        <f aca="false">IF(C148&lt;(($C$6-$B$6)/($D$6-$B$6)),$B$6+SQRT(C148*($D$6-$B$6)*($C$6-$B$6)),$D$6-SQRT((1-C148)*($D$6-$B$6)*($D$6-$C$6)))</f>
        <v>9.51744143587395</v>
      </c>
      <c r="E148" s="26" t="n">
        <f aca="true">MAX(0,$E$6+$F$6*_xlfn.NORM.S.INV(RAND()))</f>
        <v>11.9319817098283</v>
      </c>
      <c r="F148" s="27" t="n">
        <f aca="false">1/(1+EXP(-03_Inputs_Assumptions!$B$14*(E148-03_Inputs_Assumptions!$B$5)))</f>
        <v>0.0938927440907037</v>
      </c>
      <c r="G148" s="28" t="n">
        <f aca="false">D148*04_Baseline_PnL!$B$15*F148*04_Baseline_PnL!$B$14</f>
        <v>255529.900723218</v>
      </c>
      <c r="H148" s="28" t="n">
        <f aca="false">D148*03_Inputs_Assumptions!$B$13*01_Macro_Data!$B$97*($G$6-1)+D148*04_Baseline_PnL!$B$15*04_Baseline_PnL!$B$13*03_Inputs_Assumptions!$B$15*($H$6-1)</f>
        <v>1162742.01324415</v>
      </c>
      <c r="I148" s="16" t="n">
        <f aca="false">G148+H148</f>
        <v>1418271.91396736</v>
      </c>
    </row>
    <row r="149" customFormat="false" ht="15" hidden="false" customHeight="true" outlineLevel="0" collapsed="false">
      <c r="A149" s="4" t="s">
        <v>302</v>
      </c>
      <c r="B149" s="4" t="n">
        <v>139</v>
      </c>
      <c r="C149" s="24" t="n">
        <f aca="true">RAND()</f>
        <v>0.16855441979524</v>
      </c>
      <c r="D149" s="25" t="n">
        <f aca="false">IF(C149&lt;(($C$6-$B$6)/($D$6-$B$6)),$B$6+SQRT(C149*($D$6-$B$6)*($C$6-$B$6)),$D$6-SQRT((1-C149)*($D$6-$B$6)*($D$6-$C$6)))</f>
        <v>8.0225892532476</v>
      </c>
      <c r="E149" s="26" t="n">
        <f aca="true">MAX(0,$E$6+$F$6*_xlfn.NORM.S.INV(RAND()))</f>
        <v>12.1849174037571</v>
      </c>
      <c r="F149" s="27" t="n">
        <f aca="false">1/(1+EXP(-03_Inputs_Assumptions!$B$14*(E149-03_Inputs_Assumptions!$B$5)))</f>
        <v>0.099412394246849</v>
      </c>
      <c r="G149" s="28" t="n">
        <f aca="false">D149*04_Baseline_PnL!$B$15*F149*04_Baseline_PnL!$B$14</f>
        <v>228057.611813944</v>
      </c>
      <c r="H149" s="28" t="n">
        <f aca="false">D149*03_Inputs_Assumptions!$B$13*01_Macro_Data!$B$97*($G$6-1)+D149*04_Baseline_PnL!$B$15*04_Baseline_PnL!$B$13*03_Inputs_Assumptions!$B$15*($H$6-1)</f>
        <v>980116.520033558</v>
      </c>
      <c r="I149" s="16" t="n">
        <f aca="false">G149+H149</f>
        <v>1208174.1318475</v>
      </c>
    </row>
    <row r="150" customFormat="false" ht="15" hidden="false" customHeight="true" outlineLevel="0" collapsed="false">
      <c r="A150" s="4" t="s">
        <v>302</v>
      </c>
      <c r="B150" s="4" t="n">
        <v>140</v>
      </c>
      <c r="C150" s="24" t="n">
        <f aca="true">RAND()</f>
        <v>0.866761168099646</v>
      </c>
      <c r="D150" s="25" t="n">
        <f aca="false">IF(C150&lt;(($C$6-$B$6)/($D$6-$B$6)),$B$6+SQRT(C150*($D$6-$B$6)*($C$6-$B$6)),$D$6-SQRT((1-C150)*($D$6-$B$6)*($D$6-$C$6)))</f>
        <v>15.3828349494461</v>
      </c>
      <c r="E150" s="26" t="n">
        <f aca="true">MAX(0,$E$6+$F$6*_xlfn.NORM.S.INV(RAND()))</f>
        <v>7.18178772258656</v>
      </c>
      <c r="F150" s="27" t="n">
        <f aca="false">1/(1+EXP(-03_Inputs_Assumptions!$B$14*(E150-03_Inputs_Assumptions!$B$5)))</f>
        <v>0.0306333668067442</v>
      </c>
      <c r="G150" s="28" t="n">
        <f aca="false">D150*04_Baseline_PnL!$B$15*F150*04_Baseline_PnL!$B$14</f>
        <v>134747.461649471</v>
      </c>
      <c r="H150" s="28" t="n">
        <f aca="false">D150*03_Inputs_Assumptions!$B$13*01_Macro_Data!$B$97*($G$6-1)+D150*04_Baseline_PnL!$B$15*04_Baseline_PnL!$B$13*03_Inputs_Assumptions!$B$15*($H$6-1)</f>
        <v>1879314.79263985</v>
      </c>
      <c r="I150" s="16" t="n">
        <f aca="false">G150+H150</f>
        <v>2014062.25428932</v>
      </c>
    </row>
    <row r="151" customFormat="false" ht="15" hidden="false" customHeight="true" outlineLevel="0" collapsed="false">
      <c r="A151" s="4" t="s">
        <v>302</v>
      </c>
      <c r="B151" s="4" t="n">
        <v>141</v>
      </c>
      <c r="C151" s="24" t="n">
        <f aca="true">RAND()</f>
        <v>0.341189810208365</v>
      </c>
      <c r="D151" s="25" t="n">
        <f aca="false">IF(C151&lt;(($C$6-$B$6)/($D$6-$B$6)),$B$6+SQRT(C151*($D$6-$B$6)*($C$6-$B$6)),$D$6-SQRT((1-C151)*($D$6-$B$6)*($D$6-$C$6)))</f>
        <v>9.72313041787474</v>
      </c>
      <c r="E151" s="26" t="n">
        <f aca="true">MAX(0,$E$6+$F$6*_xlfn.NORM.S.INV(RAND()))</f>
        <v>8.04080279491099</v>
      </c>
      <c r="F151" s="27" t="n">
        <f aca="false">1/(1+EXP(-03_Inputs_Assumptions!$B$14*(E151-03_Inputs_Assumptions!$B$5)))</f>
        <v>0.0376951700278165</v>
      </c>
      <c r="G151" s="28" t="n">
        <f aca="false">D151*04_Baseline_PnL!$B$15*F151*04_Baseline_PnL!$B$14</f>
        <v>104804.830247256</v>
      </c>
      <c r="H151" s="28" t="n">
        <f aca="false">D151*03_Inputs_Assumptions!$B$13*01_Macro_Data!$B$97*($G$6-1)+D151*04_Baseline_PnL!$B$15*04_Baseline_PnL!$B$13*03_Inputs_Assumptions!$B$15*($H$6-1)</f>
        <v>1187870.95389959</v>
      </c>
      <c r="I151" s="16" t="n">
        <f aca="false">G151+H151</f>
        <v>1292675.78414685</v>
      </c>
    </row>
    <row r="152" customFormat="false" ht="15" hidden="false" customHeight="true" outlineLevel="0" collapsed="false">
      <c r="A152" s="4" t="s">
        <v>302</v>
      </c>
      <c r="B152" s="4" t="n">
        <v>142</v>
      </c>
      <c r="C152" s="24" t="n">
        <f aca="true">RAND()</f>
        <v>0.433577988365781</v>
      </c>
      <c r="D152" s="25" t="n">
        <f aca="false">IF(C152&lt;(($C$6-$B$6)/($D$6-$B$6)),$B$6+SQRT(C152*($D$6-$B$6)*($C$6-$B$6)),$D$6-SQRT((1-C152)*($D$6-$B$6)*($D$6-$C$6)))</f>
        <v>10.4801511639378</v>
      </c>
      <c r="E152" s="26" t="n">
        <f aca="true">MAX(0,$E$6+$F$6*_xlfn.NORM.S.INV(RAND()))</f>
        <v>5.56804979445606</v>
      </c>
      <c r="F152" s="27" t="n">
        <f aca="false">1/(1+EXP(-03_Inputs_Assumptions!$B$14*(E152-03_Inputs_Assumptions!$B$5)))</f>
        <v>0.0206740031669361</v>
      </c>
      <c r="G152" s="28" t="n">
        <f aca="false">D152*04_Baseline_PnL!$B$15*F152*04_Baseline_PnL!$B$14</f>
        <v>61955.7482792647</v>
      </c>
      <c r="H152" s="28" t="n">
        <f aca="false">D152*03_Inputs_Assumptions!$B$13*01_Macro_Data!$B$97*($G$6-1)+D152*04_Baseline_PnL!$B$15*04_Baseline_PnL!$B$13*03_Inputs_Assumptions!$B$15*($H$6-1)</f>
        <v>1280355.87563781</v>
      </c>
      <c r="I152" s="16" t="n">
        <f aca="false">G152+H152</f>
        <v>1342311.62391708</v>
      </c>
    </row>
    <row r="153" customFormat="false" ht="15" hidden="false" customHeight="true" outlineLevel="0" collapsed="false">
      <c r="A153" s="4" t="s">
        <v>302</v>
      </c>
      <c r="B153" s="4" t="n">
        <v>143</v>
      </c>
      <c r="C153" s="24" t="n">
        <f aca="true">RAND()</f>
        <v>0.813604279404232</v>
      </c>
      <c r="D153" s="25" t="n">
        <f aca="false">IF(C153&lt;(($C$6-$B$6)/($D$6-$B$6)),$B$6+SQRT(C153*($D$6-$B$6)*($C$6-$B$6)),$D$6-SQRT((1-C153)*($D$6-$B$6)*($D$6-$C$6)))</f>
        <v>14.5389272761368</v>
      </c>
      <c r="E153" s="26" t="n">
        <f aca="true">MAX(0,$E$6+$F$6*_xlfn.NORM.S.INV(RAND()))</f>
        <v>12.3183084681939</v>
      </c>
      <c r="F153" s="27" t="n">
        <f aca="false">1/(1+EXP(-03_Inputs_Assumptions!$B$14*(E153-03_Inputs_Assumptions!$B$5)))</f>
        <v>0.102438145114897</v>
      </c>
      <c r="G153" s="28" t="n">
        <f aca="false">D153*04_Baseline_PnL!$B$15*F153*04_Baseline_PnL!$B$14</f>
        <v>425876.377589074</v>
      </c>
      <c r="H153" s="28" t="n">
        <f aca="false">D153*03_Inputs_Assumptions!$B$13*01_Macro_Data!$B$97*($G$6-1)+D153*04_Baseline_PnL!$B$15*04_Baseline_PnL!$B$13*03_Inputs_Assumptions!$B$15*($H$6-1)</f>
        <v>1776214.92975472</v>
      </c>
      <c r="I153" s="16" t="n">
        <f aca="false">G153+H153</f>
        <v>2202091.30734379</v>
      </c>
    </row>
    <row r="154" customFormat="false" ht="15" hidden="false" customHeight="true" outlineLevel="0" collapsed="false">
      <c r="A154" s="4" t="s">
        <v>302</v>
      </c>
      <c r="B154" s="4" t="n">
        <v>144</v>
      </c>
      <c r="C154" s="24" t="n">
        <f aca="true">RAND()</f>
        <v>0.434437449155121</v>
      </c>
      <c r="D154" s="25" t="n">
        <f aca="false">IF(C154&lt;(($C$6-$B$6)/($D$6-$B$6)),$B$6+SQRT(C154*($D$6-$B$6)*($C$6-$B$6)),$D$6-SQRT((1-C154)*($D$6-$B$6)*($D$6-$C$6)))</f>
        <v>10.4873763800316</v>
      </c>
      <c r="E154" s="26" t="n">
        <f aca="true">MAX(0,$E$6+$F$6*_xlfn.NORM.S.INV(RAND()))</f>
        <v>12.4685135225984</v>
      </c>
      <c r="F154" s="27" t="n">
        <f aca="false">1/(1+EXP(-03_Inputs_Assumptions!$B$14*(E154-03_Inputs_Assumptions!$B$5)))</f>
        <v>0.10594268728997</v>
      </c>
      <c r="G154" s="28" t="n">
        <f aca="false">D154*04_Baseline_PnL!$B$15*F154*04_Baseline_PnL!$B$14</f>
        <v>317707.392854796</v>
      </c>
      <c r="H154" s="28" t="n">
        <f aca="false">D154*03_Inputs_Assumptions!$B$13*01_Macro_Data!$B$97*($G$6-1)+D154*04_Baseline_PnL!$B$15*04_Baseline_PnL!$B$13*03_Inputs_Assumptions!$B$15*($H$6-1)</f>
        <v>1281238.57739791</v>
      </c>
      <c r="I154" s="16" t="n">
        <f aca="false">G154+H154</f>
        <v>1598945.9702527</v>
      </c>
    </row>
    <row r="155" customFormat="false" ht="15" hidden="false" customHeight="true" outlineLevel="0" collapsed="false">
      <c r="A155" s="4" t="s">
        <v>302</v>
      </c>
      <c r="B155" s="4" t="n">
        <v>145</v>
      </c>
      <c r="C155" s="24" t="n">
        <f aca="true">RAND()</f>
        <v>0.00938522421481979</v>
      </c>
      <c r="D155" s="25" t="n">
        <f aca="false">IF(C155&lt;(($C$6-$B$6)/($D$6-$B$6)),$B$6+SQRT(C155*($D$6-$B$6)*($C$6-$B$6)),$D$6-SQRT((1-C155)*($D$6-$B$6)*($D$6-$C$6)))</f>
        <v>4.94920046598319</v>
      </c>
      <c r="E155" s="26" t="n">
        <f aca="true">MAX(0,$E$6+$F$6*_xlfn.NORM.S.INV(RAND()))</f>
        <v>10.0856746551525</v>
      </c>
      <c r="F155" s="27" t="n">
        <f aca="false">1/(1+EXP(-03_Inputs_Assumptions!$B$14*(E155-03_Inputs_Assumptions!$B$5)))</f>
        <v>0.061307754871017</v>
      </c>
      <c r="G155" s="28" t="n">
        <f aca="false">D155*04_Baseline_PnL!$B$15*F155*04_Baseline_PnL!$B$14</f>
        <v>86764.0745173856</v>
      </c>
      <c r="H155" s="28" t="n">
        <f aca="false">D155*03_Inputs_Assumptions!$B$13*01_Macro_Data!$B$97*($G$6-1)+D155*04_Baseline_PnL!$B$15*04_Baseline_PnL!$B$13*03_Inputs_Assumptions!$B$15*($H$6-1)</f>
        <v>604641.84124898</v>
      </c>
      <c r="I155" s="16" t="n">
        <f aca="false">G155+H155</f>
        <v>691405.915766365</v>
      </c>
    </row>
    <row r="156" customFormat="false" ht="15" hidden="false" customHeight="true" outlineLevel="0" collapsed="false">
      <c r="A156" s="4" t="s">
        <v>302</v>
      </c>
      <c r="B156" s="4" t="n">
        <v>146</v>
      </c>
      <c r="C156" s="24" t="n">
        <f aca="true">RAND()</f>
        <v>0.716137660225316</v>
      </c>
      <c r="D156" s="25" t="n">
        <f aca="false">IF(C156&lt;(($C$6-$B$6)/($D$6-$B$6)),$B$6+SQRT(C156*($D$6-$B$6)*($C$6-$B$6)),$D$6-SQRT((1-C156)*($D$6-$B$6)*($D$6-$C$6)))</f>
        <v>13.2607141057862</v>
      </c>
      <c r="E156" s="26" t="n">
        <f aca="true">MAX(0,$E$6+$F$6*_xlfn.NORM.S.INV(RAND()))</f>
        <v>9.75285272711045</v>
      </c>
      <c r="F156" s="27" t="n">
        <f aca="false">1/(1+EXP(-03_Inputs_Assumptions!$B$14*(E156-03_Inputs_Assumptions!$B$5)))</f>
        <v>0.0566905518839035</v>
      </c>
      <c r="G156" s="28" t="n">
        <f aca="false">D156*04_Baseline_PnL!$B$15*F156*04_Baseline_PnL!$B$14</f>
        <v>214964.664932529</v>
      </c>
      <c r="H156" s="28" t="n">
        <f aca="false">D156*03_Inputs_Assumptions!$B$13*01_Macro_Data!$B$97*($G$6-1)+D156*04_Baseline_PnL!$B$15*04_Baseline_PnL!$B$13*03_Inputs_Assumptions!$B$15*($H$6-1)</f>
        <v>1620056.13801826</v>
      </c>
      <c r="I156" s="16" t="n">
        <f aca="false">G156+H156</f>
        <v>1835020.80295078</v>
      </c>
    </row>
    <row r="157" customFormat="false" ht="15" hidden="false" customHeight="true" outlineLevel="0" collapsed="false">
      <c r="A157" s="4" t="s">
        <v>302</v>
      </c>
      <c r="B157" s="4" t="n">
        <v>147</v>
      </c>
      <c r="C157" s="24" t="n">
        <f aca="true">RAND()</f>
        <v>0.987655952069579</v>
      </c>
      <c r="D157" s="25" t="n">
        <f aca="false">IF(C157&lt;(($C$6-$B$6)/($D$6-$B$6)),$B$6+SQRT(C157*($D$6-$B$6)*($C$6-$B$6)),$D$6-SQRT((1-C157)*($D$6-$B$6)*($D$6-$C$6)))</f>
        <v>18.5946361080249</v>
      </c>
      <c r="E157" s="26" t="n">
        <f aca="true">MAX(0,$E$6+$F$6*_xlfn.NORM.S.INV(RAND()))</f>
        <v>12.5015370128156</v>
      </c>
      <c r="F157" s="27" t="n">
        <f aca="false">1/(1+EXP(-03_Inputs_Assumptions!$B$14*(E157-03_Inputs_Assumptions!$B$5)))</f>
        <v>0.10672722177413</v>
      </c>
      <c r="G157" s="28" t="n">
        <f aca="false">D157*04_Baseline_PnL!$B$15*F157*04_Baseline_PnL!$B$14</f>
        <v>567482.364236788</v>
      </c>
      <c r="H157" s="28" t="n">
        <f aca="false">D157*03_Inputs_Assumptions!$B$13*01_Macro_Data!$B$97*($G$6-1)+D157*04_Baseline_PnL!$B$15*04_Baseline_PnL!$B$13*03_Inputs_Assumptions!$B$15*($H$6-1)</f>
        <v>2271699.25546296</v>
      </c>
      <c r="I157" s="16" t="n">
        <f aca="false">G157+H157</f>
        <v>2839181.61969975</v>
      </c>
    </row>
    <row r="158" customFormat="false" ht="15" hidden="false" customHeight="true" outlineLevel="0" collapsed="false">
      <c r="A158" s="4" t="s">
        <v>302</v>
      </c>
      <c r="B158" s="4" t="n">
        <v>148</v>
      </c>
      <c r="C158" s="24" t="n">
        <f aca="true">RAND()</f>
        <v>0.804652495149866</v>
      </c>
      <c r="D158" s="25" t="n">
        <f aca="false">IF(C158&lt;(($C$6-$B$6)/($D$6-$B$6)),$B$6+SQRT(C158*($D$6-$B$6)*($C$6-$B$6)),$D$6-SQRT((1-C158)*($D$6-$B$6)*($D$6-$C$6)))</f>
        <v>14.4093291300577</v>
      </c>
      <c r="E158" s="26" t="n">
        <f aca="true">MAX(0,$E$6+$F$6*_xlfn.NORM.S.INV(RAND()))</f>
        <v>11.0780475668638</v>
      </c>
      <c r="F158" s="27" t="n">
        <f aca="false">1/(1+EXP(-03_Inputs_Assumptions!$B$14*(E158-03_Inputs_Assumptions!$B$5)))</f>
        <v>0.0772374066062205</v>
      </c>
      <c r="G158" s="28" t="n">
        <f aca="false">D158*04_Baseline_PnL!$B$15*F158*04_Baseline_PnL!$B$14</f>
        <v>318244.513882718</v>
      </c>
      <c r="H158" s="28" t="n">
        <f aca="false">D158*03_Inputs_Assumptions!$B$13*01_Macro_Data!$B$97*($G$6-1)+D158*04_Baseline_PnL!$B$15*04_Baseline_PnL!$B$13*03_Inputs_Assumptions!$B$15*($H$6-1)</f>
        <v>1760381.9760875</v>
      </c>
      <c r="I158" s="16" t="n">
        <f aca="false">G158+H158</f>
        <v>2078626.48997021</v>
      </c>
    </row>
    <row r="159" customFormat="false" ht="15" hidden="false" customHeight="true" outlineLevel="0" collapsed="false">
      <c r="A159" s="4" t="s">
        <v>302</v>
      </c>
      <c r="B159" s="4" t="n">
        <v>149</v>
      </c>
      <c r="C159" s="24" t="n">
        <f aca="true">RAND()</f>
        <v>0.576789443932956</v>
      </c>
      <c r="D159" s="25" t="n">
        <f aca="false">IF(C159&lt;(($C$6-$B$6)/($D$6-$B$6)),$B$6+SQRT(C159*($D$6-$B$6)*($C$6-$B$6)),$D$6-SQRT((1-C159)*($D$6-$B$6)*($D$6-$C$6)))</f>
        <v>11.7711672169908</v>
      </c>
      <c r="E159" s="26" t="n">
        <f aca="true">MAX(0,$E$6+$F$6*_xlfn.NORM.S.INV(RAND()))</f>
        <v>8.81329326565703</v>
      </c>
      <c r="F159" s="27" t="n">
        <f aca="false">1/(1+EXP(-03_Inputs_Assumptions!$B$14*(E159-03_Inputs_Assumptions!$B$5)))</f>
        <v>0.045361167581254</v>
      </c>
      <c r="G159" s="28" t="n">
        <f aca="false">D159*04_Baseline_PnL!$B$15*F159*04_Baseline_PnL!$B$14</f>
        <v>152683.896647112</v>
      </c>
      <c r="H159" s="28" t="n">
        <f aca="false">D159*03_Inputs_Assumptions!$B$13*01_Macro_Data!$B$97*($G$6-1)+D159*04_Baseline_PnL!$B$15*04_Baseline_PnL!$B$13*03_Inputs_Assumptions!$B$15*($H$6-1)</f>
        <v>1438078.79043288</v>
      </c>
      <c r="I159" s="16" t="n">
        <f aca="false">G159+H159</f>
        <v>1590762.68707999</v>
      </c>
    </row>
    <row r="160" customFormat="false" ht="15" hidden="false" customHeight="true" outlineLevel="0" collapsed="false">
      <c r="A160" s="4" t="s">
        <v>302</v>
      </c>
      <c r="B160" s="4" t="n">
        <v>150</v>
      </c>
      <c r="C160" s="24" t="n">
        <f aca="true">RAND()</f>
        <v>0.302365095391615</v>
      </c>
      <c r="D160" s="25" t="n">
        <f aca="false">IF(C160&lt;(($C$6-$B$6)/($D$6-$B$6)),$B$6+SQRT(C160*($D$6-$B$6)*($C$6-$B$6)),$D$6-SQRT((1-C160)*($D$6-$B$6)*($D$6-$C$6)))</f>
        <v>9.38767567301476</v>
      </c>
      <c r="E160" s="26" t="n">
        <f aca="true">MAX(0,$E$6+$F$6*_xlfn.NORM.S.INV(RAND()))</f>
        <v>12.567264857267</v>
      </c>
      <c r="F160" s="27" t="n">
        <f aca="false">1/(1+EXP(-03_Inputs_Assumptions!$B$14*(E160-03_Inputs_Assumptions!$B$5)))</f>
        <v>0.108303941463241</v>
      </c>
      <c r="G160" s="28" t="n">
        <f aca="false">D160*04_Baseline_PnL!$B$15*F160*04_Baseline_PnL!$B$14</f>
        <v>290731.320180935</v>
      </c>
      <c r="H160" s="28" t="n">
        <f aca="false">D160*03_Inputs_Assumptions!$B$13*01_Macro_Data!$B$97*($G$6-1)+D160*04_Baseline_PnL!$B$15*04_Baseline_PnL!$B$13*03_Inputs_Assumptions!$B$15*($H$6-1)</f>
        <v>1146888.58190194</v>
      </c>
      <c r="I160" s="16" t="n">
        <f aca="false">G160+H160</f>
        <v>1437619.90208288</v>
      </c>
    </row>
    <row r="161" customFormat="false" ht="15" hidden="false" customHeight="true" outlineLevel="0" collapsed="false">
      <c r="A161" s="4" t="s">
        <v>302</v>
      </c>
      <c r="B161" s="4" t="n">
        <v>151</v>
      </c>
      <c r="C161" s="24" t="n">
        <f aca="true">RAND()</f>
        <v>0.957376241818585</v>
      </c>
      <c r="D161" s="25" t="n">
        <f aca="false">IF(C161&lt;(($C$6-$B$6)/($D$6-$B$6)),$B$6+SQRT(C161*($D$6-$B$6)*($C$6-$B$6)),$D$6-SQRT((1-C161)*($D$6-$B$6)*($D$6-$C$6)))</f>
        <v>17.38852507019</v>
      </c>
      <c r="E161" s="26" t="n">
        <f aca="true">MAX(0,$E$6+$F$6*_xlfn.NORM.S.INV(RAND()))</f>
        <v>11.2837328801312</v>
      </c>
      <c r="F161" s="27" t="n">
        <f aca="false">1/(1+EXP(-03_Inputs_Assumptions!$B$14*(E161-03_Inputs_Assumptions!$B$5)))</f>
        <v>0.0809828946505669</v>
      </c>
      <c r="G161" s="28" t="n">
        <f aca="false">D161*04_Baseline_PnL!$B$15*F161*04_Baseline_PnL!$B$14</f>
        <v>402666.521689713</v>
      </c>
      <c r="H161" s="28" t="n">
        <f aca="false">D161*03_Inputs_Assumptions!$B$13*01_Macro_Data!$B$97*($G$6-1)+D161*04_Baseline_PnL!$B$15*04_Baseline_PnL!$B$13*03_Inputs_Assumptions!$B$15*($H$6-1)</f>
        <v>2124349.15241508</v>
      </c>
      <c r="I161" s="16" t="n">
        <f aca="false">G161+H161</f>
        <v>2527015.67410479</v>
      </c>
    </row>
    <row r="162" customFormat="false" ht="15" hidden="false" customHeight="true" outlineLevel="0" collapsed="false">
      <c r="A162" s="4" t="s">
        <v>302</v>
      </c>
      <c r="B162" s="4" t="n">
        <v>152</v>
      </c>
      <c r="C162" s="24" t="n">
        <f aca="true">RAND()</f>
        <v>0.754364211829341</v>
      </c>
      <c r="D162" s="25" t="n">
        <f aca="false">IF(C162&lt;(($C$6-$B$6)/($D$6-$B$6)),$B$6+SQRT(C162*($D$6-$B$6)*($C$6-$B$6)),$D$6-SQRT((1-C162)*($D$6-$B$6)*($D$6-$C$6)))</f>
        <v>13.7308911233489</v>
      </c>
      <c r="E162" s="26" t="n">
        <f aca="true">MAX(0,$E$6+$F$6*_xlfn.NORM.S.INV(RAND()))</f>
        <v>6.96669163255779</v>
      </c>
      <c r="F162" s="27" t="n">
        <f aca="false">1/(1+EXP(-03_Inputs_Assumptions!$B$14*(E162-03_Inputs_Assumptions!$B$5)))</f>
        <v>0.0290762261820579</v>
      </c>
      <c r="G162" s="28" t="n">
        <f aca="false">D162*04_Baseline_PnL!$B$15*F162*04_Baseline_PnL!$B$14</f>
        <v>114163.22884328</v>
      </c>
      <c r="H162" s="28" t="n">
        <f aca="false">D162*03_Inputs_Assumptions!$B$13*01_Macro_Data!$B$97*($G$6-1)+D162*04_Baseline_PnL!$B$15*04_Baseline_PnL!$B$13*03_Inputs_Assumptions!$B$15*($H$6-1)</f>
        <v>1677497.47618309</v>
      </c>
      <c r="I162" s="16" t="n">
        <f aca="false">G162+H162</f>
        <v>1791660.70502637</v>
      </c>
    </row>
    <row r="163" customFormat="false" ht="15" hidden="false" customHeight="true" outlineLevel="0" collapsed="false">
      <c r="A163" s="4" t="s">
        <v>302</v>
      </c>
      <c r="B163" s="4" t="n">
        <v>153</v>
      </c>
      <c r="C163" s="24" t="n">
        <f aca="true">RAND()</f>
        <v>0.458306148703546</v>
      </c>
      <c r="D163" s="25" t="n">
        <f aca="false">IF(C163&lt;(($C$6-$B$6)/($D$6-$B$6)),$B$6+SQRT(C163*($D$6-$B$6)*($C$6-$B$6)),$D$6-SQRT((1-C163)*($D$6-$B$6)*($D$6-$C$6)))</f>
        <v>10.6902730326055</v>
      </c>
      <c r="E163" s="26" t="n">
        <f aca="true">MAX(0,$E$6+$F$6*_xlfn.NORM.S.INV(RAND()))</f>
        <v>4.8013092580181</v>
      </c>
      <c r="F163" s="27" t="n">
        <f aca="false">1/(1+EXP(-03_Inputs_Assumptions!$B$14*(E163-03_Inputs_Assumptions!$B$5)))</f>
        <v>0.017129543151745</v>
      </c>
      <c r="G163" s="28" t="n">
        <f aca="false">D163*04_Baseline_PnL!$B$15*F163*04_Baseline_PnL!$B$14</f>
        <v>52362.9443758697</v>
      </c>
      <c r="H163" s="28" t="n">
        <f aca="false">D163*03_Inputs_Assumptions!$B$13*01_Macro_Data!$B$97*($G$6-1)+D163*04_Baseline_PnL!$B$15*04_Baseline_PnL!$B$13*03_Inputs_Assumptions!$B$15*($H$6-1)</f>
        <v>1306026.3802842</v>
      </c>
      <c r="I163" s="16" t="n">
        <f aca="false">G163+H163</f>
        <v>1358389.32466007</v>
      </c>
    </row>
    <row r="164" customFormat="false" ht="15" hidden="false" customHeight="true" outlineLevel="0" collapsed="false">
      <c r="A164" s="4" t="s">
        <v>302</v>
      </c>
      <c r="B164" s="4" t="n">
        <v>154</v>
      </c>
      <c r="C164" s="24" t="n">
        <f aca="true">RAND()</f>
        <v>0.494659464562924</v>
      </c>
      <c r="D164" s="25" t="n">
        <f aca="false">IF(C164&lt;(($C$6-$B$6)/($D$6-$B$6)),$B$6+SQRT(C164*($D$6-$B$6)*($C$6-$B$6)),$D$6-SQRT((1-C164)*($D$6-$B$6)*($D$6-$C$6)))</f>
        <v>11.0080877634436</v>
      </c>
      <c r="E164" s="26" t="n">
        <f aca="true">MAX(0,$E$6+$F$6*_xlfn.NORM.S.INV(RAND()))</f>
        <v>14.2236254421754</v>
      </c>
      <c r="F164" s="27" t="n">
        <f aca="false">1/(1+EXP(-03_Inputs_Assumptions!$B$14*(E164-03_Inputs_Assumptions!$B$5)))</f>
        <v>0.155238245005273</v>
      </c>
      <c r="G164" s="28" t="n">
        <f aca="false">D164*04_Baseline_PnL!$B$15*F164*04_Baseline_PnL!$B$14</f>
        <v>488652.459424749</v>
      </c>
      <c r="H164" s="28" t="n">
        <f aca="false">D164*03_Inputs_Assumptions!$B$13*01_Macro_Data!$B$97*($G$6-1)+D164*04_Baseline_PnL!$B$15*04_Baseline_PnL!$B$13*03_Inputs_Assumptions!$B$15*($H$6-1)</f>
        <v>1344853.6788248</v>
      </c>
      <c r="I164" s="16" t="n">
        <f aca="false">G164+H164</f>
        <v>1833506.13824955</v>
      </c>
    </row>
    <row r="165" customFormat="false" ht="15" hidden="false" customHeight="true" outlineLevel="0" collapsed="false">
      <c r="A165" s="4" t="s">
        <v>302</v>
      </c>
      <c r="B165" s="4" t="n">
        <v>155</v>
      </c>
      <c r="C165" s="24" t="n">
        <f aca="true">RAND()</f>
        <v>0.050458338717643</v>
      </c>
      <c r="D165" s="25" t="n">
        <f aca="false">IF(C165&lt;(($C$6-$B$6)/($D$6-$B$6)),$B$6+SQRT(C165*($D$6-$B$6)*($C$6-$B$6)),$D$6-SQRT((1-C165)*($D$6-$B$6)*($D$6-$C$6)))</f>
        <v>6.2009090205853</v>
      </c>
      <c r="E165" s="26" t="n">
        <f aca="true">MAX(0,$E$6+$F$6*_xlfn.NORM.S.INV(RAND()))</f>
        <v>19.6366157078901</v>
      </c>
      <c r="F165" s="27" t="n">
        <f aca="false">1/(1+EXP(-03_Inputs_Assumptions!$B$14*(E165-03_Inputs_Assumptions!$B$5)))</f>
        <v>0.415603970461468</v>
      </c>
      <c r="G165" s="28" t="n">
        <f aca="false">D165*04_Baseline_PnL!$B$15*F165*04_Baseline_PnL!$B$14</f>
        <v>736927.101558862</v>
      </c>
      <c r="H165" s="28" t="n">
        <f aca="false">D165*03_Inputs_Assumptions!$B$13*01_Macro_Data!$B$97*($G$6-1)+D165*04_Baseline_PnL!$B$15*04_Baseline_PnL!$B$13*03_Inputs_Assumptions!$B$15*($H$6-1)</f>
        <v>757562.574681297</v>
      </c>
      <c r="I165" s="16" t="n">
        <f aca="false">G165+H165</f>
        <v>1494489.67624016</v>
      </c>
    </row>
    <row r="166" customFormat="false" ht="15" hidden="false" customHeight="true" outlineLevel="0" collapsed="false">
      <c r="A166" s="4" t="s">
        <v>302</v>
      </c>
      <c r="B166" s="4" t="n">
        <v>156</v>
      </c>
      <c r="C166" s="24" t="n">
        <f aca="true">RAND()</f>
        <v>0.450985201185952</v>
      </c>
      <c r="D166" s="25" t="n">
        <f aca="false">IF(C166&lt;(($C$6-$B$6)/($D$6-$B$6)),$B$6+SQRT(C166*($D$6-$B$6)*($C$6-$B$6)),$D$6-SQRT((1-C166)*($D$6-$B$6)*($D$6-$C$6)))</f>
        <v>10.6275740701648</v>
      </c>
      <c r="E166" s="26" t="n">
        <f aca="true">MAX(0,$E$6+$F$6*_xlfn.NORM.S.INV(RAND()))</f>
        <v>14.2963721591404</v>
      </c>
      <c r="F166" s="27" t="n">
        <f aca="false">1/(1+EXP(-03_Inputs_Assumptions!$B$14*(E166-03_Inputs_Assumptions!$B$5)))</f>
        <v>0.157638215816176</v>
      </c>
      <c r="G166" s="28" t="n">
        <f aca="false">D166*04_Baseline_PnL!$B$15*F166*04_Baseline_PnL!$B$14</f>
        <v>479054.729968513</v>
      </c>
      <c r="H166" s="28" t="n">
        <f aca="false">D166*03_Inputs_Assumptions!$B$13*01_Macro_Data!$B$97*($G$6-1)+D166*04_Baseline_PnL!$B$15*04_Baseline_PnL!$B$13*03_Inputs_Assumptions!$B$15*($H$6-1)</f>
        <v>1298366.4731224</v>
      </c>
      <c r="I166" s="16" t="n">
        <f aca="false">G166+H166</f>
        <v>1777421.20309092</v>
      </c>
    </row>
    <row r="167" customFormat="false" ht="15" hidden="false" customHeight="true" outlineLevel="0" collapsed="false">
      <c r="A167" s="4" t="s">
        <v>302</v>
      </c>
      <c r="B167" s="4" t="n">
        <v>157</v>
      </c>
      <c r="C167" s="24" t="n">
        <f aca="true">RAND()</f>
        <v>0.793196133428056</v>
      </c>
      <c r="D167" s="25" t="n">
        <f aca="false">IF(C167&lt;(($C$6-$B$6)/($D$6-$B$6)),$B$6+SQRT(C167*($D$6-$B$6)*($C$6-$B$6)),$D$6-SQRT((1-C167)*($D$6-$B$6)*($D$6-$C$6)))</f>
        <v>14.247729261282</v>
      </c>
      <c r="E167" s="26" t="n">
        <f aca="true">MAX(0,$E$6+$F$6*_xlfn.NORM.S.INV(RAND()))</f>
        <v>16.2695680104915</v>
      </c>
      <c r="F167" s="27" t="n">
        <f aca="false">1/(1+EXP(-03_Inputs_Assumptions!$B$14*(E167-03_Inputs_Assumptions!$B$5)))</f>
        <v>0.234583595428093</v>
      </c>
      <c r="G167" s="28" t="n">
        <f aca="false">D167*04_Baseline_PnL!$B$15*F167*04_Baseline_PnL!$B$14</f>
        <v>955724.619478855</v>
      </c>
      <c r="H167" s="28" t="n">
        <f aca="false">D167*03_Inputs_Assumptions!$B$13*01_Macro_Data!$B$97*($G$6-1)+D167*04_Baseline_PnL!$B$15*04_Baseline_PnL!$B$13*03_Inputs_Assumptions!$B$15*($H$6-1)</f>
        <v>1740639.38475912</v>
      </c>
      <c r="I167" s="16" t="n">
        <f aca="false">G167+H167</f>
        <v>2696364.00423798</v>
      </c>
    </row>
    <row r="168" customFormat="false" ht="15" hidden="false" customHeight="true" outlineLevel="0" collapsed="false">
      <c r="A168" s="4" t="s">
        <v>302</v>
      </c>
      <c r="B168" s="4" t="n">
        <v>158</v>
      </c>
      <c r="C168" s="24" t="n">
        <f aca="true">RAND()</f>
        <v>0.593953765298876</v>
      </c>
      <c r="D168" s="25" t="n">
        <f aca="false">IF(C168&lt;(($C$6-$B$6)/($D$6-$B$6)),$B$6+SQRT(C168*($D$6-$B$6)*($C$6-$B$6)),$D$6-SQRT((1-C168)*($D$6-$B$6)*($D$6-$C$6)))</f>
        <v>11.9397644232827</v>
      </c>
      <c r="E168" s="26" t="n">
        <f aca="true">MAX(0,$E$6+$F$6*_xlfn.NORM.S.INV(RAND()))</f>
        <v>15.1643001480307</v>
      </c>
      <c r="F168" s="27" t="n">
        <f aca="false">1/(1+EXP(-03_Inputs_Assumptions!$B$14*(E168-03_Inputs_Assumptions!$B$5)))</f>
        <v>0.188631804390768</v>
      </c>
      <c r="G168" s="28" t="n">
        <f aca="false">D168*04_Baseline_PnL!$B$15*F168*04_Baseline_PnL!$B$14</f>
        <v>644021.192021526</v>
      </c>
      <c r="H168" s="28" t="n">
        <f aca="false">D168*03_Inputs_Assumptions!$B$13*01_Macro_Data!$B$97*($G$6-1)+D168*04_Baseline_PnL!$B$15*04_Baseline_PnL!$B$13*03_Inputs_Assumptions!$B$15*($H$6-1)</f>
        <v>1458676.24368667</v>
      </c>
      <c r="I168" s="16" t="n">
        <f aca="false">G168+H168</f>
        <v>2102697.4357082</v>
      </c>
    </row>
    <row r="169" customFormat="false" ht="15" hidden="false" customHeight="true" outlineLevel="0" collapsed="false">
      <c r="A169" s="4" t="s">
        <v>302</v>
      </c>
      <c r="B169" s="4" t="n">
        <v>159</v>
      </c>
      <c r="C169" s="24" t="n">
        <f aca="true">RAND()</f>
        <v>0.390450698377859</v>
      </c>
      <c r="D169" s="25" t="n">
        <f aca="false">IF(C169&lt;(($C$6-$B$6)/($D$6-$B$6)),$B$6+SQRT(C169*($D$6-$B$6)*($C$6-$B$6)),$D$6-SQRT((1-C169)*($D$6-$B$6)*($D$6-$C$6)))</f>
        <v>10.1243790949864</v>
      </c>
      <c r="E169" s="26" t="n">
        <f aca="true">MAX(0,$E$6+$F$6*_xlfn.NORM.S.INV(RAND()))</f>
        <v>19.2227475654256</v>
      </c>
      <c r="F169" s="27" t="n">
        <f aca="false">1/(1+EXP(-03_Inputs_Assumptions!$B$14*(E169-03_Inputs_Assumptions!$B$5)))</f>
        <v>0.390713723049986</v>
      </c>
      <c r="G169" s="28" t="n">
        <f aca="false">D169*04_Baseline_PnL!$B$15*F169*04_Baseline_PnL!$B$14</f>
        <v>1131140.48047884</v>
      </c>
      <c r="H169" s="28" t="n">
        <f aca="false">D169*03_Inputs_Assumptions!$B$13*01_Macro_Data!$B$97*($G$6-1)+D169*04_Baseline_PnL!$B$15*04_Baseline_PnL!$B$13*03_Inputs_Assumptions!$B$15*($H$6-1)</f>
        <v>1236891.34428285</v>
      </c>
      <c r="I169" s="16" t="n">
        <f aca="false">G169+H169</f>
        <v>2368031.82476169</v>
      </c>
    </row>
    <row r="170" customFormat="false" ht="15" hidden="false" customHeight="true" outlineLevel="0" collapsed="false">
      <c r="A170" s="4" t="s">
        <v>302</v>
      </c>
      <c r="B170" s="4" t="n">
        <v>160</v>
      </c>
      <c r="C170" s="24" t="n">
        <f aca="true">RAND()</f>
        <v>0.993323794713009</v>
      </c>
      <c r="D170" s="25" t="n">
        <f aca="false">IF(C170&lt;(($C$6-$B$6)/($D$6-$B$6)),$B$6+SQRT(C170*($D$6-$B$6)*($C$6-$B$6)),$D$6-SQRT((1-C170)*($D$6-$B$6)*($D$6-$C$6)))</f>
        <v>18.9664658467576</v>
      </c>
      <c r="E170" s="26" t="n">
        <f aca="true">MAX(0,$E$6+$F$6*_xlfn.NORM.S.INV(RAND()))</f>
        <v>9.47675198312269</v>
      </c>
      <c r="F170" s="27" t="n">
        <f aca="false">1/(1+EXP(-03_Inputs_Assumptions!$B$14*(E170-03_Inputs_Assumptions!$B$5)))</f>
        <v>0.0531102862225776</v>
      </c>
      <c r="G170" s="28" t="n">
        <f aca="false">D170*04_Baseline_PnL!$B$15*F170*04_Baseline_PnL!$B$14</f>
        <v>288041.150222679</v>
      </c>
      <c r="H170" s="28" t="n">
        <f aca="false">D170*03_Inputs_Assumptions!$B$13*01_Macro_Data!$B$97*($G$6-1)+D170*04_Baseline_PnL!$B$15*04_Baseline_PnL!$B$13*03_Inputs_Assumptions!$B$15*($H$6-1)</f>
        <v>2317125.54591203</v>
      </c>
      <c r="I170" s="16" t="n">
        <f aca="false">G170+H170</f>
        <v>2605166.69613471</v>
      </c>
    </row>
    <row r="171" customFormat="false" ht="15" hidden="false" customHeight="true" outlineLevel="0" collapsed="false">
      <c r="A171" s="4" t="s">
        <v>302</v>
      </c>
      <c r="B171" s="4" t="n">
        <v>161</v>
      </c>
      <c r="C171" s="24" t="n">
        <f aca="true">RAND()</f>
        <v>0.0637707288993859</v>
      </c>
      <c r="D171" s="25" t="n">
        <f aca="false">IF(C171&lt;(($C$6-$B$6)/($D$6-$B$6)),$B$6+SQRT(C171*($D$6-$B$6)*($C$6-$B$6)),$D$6-SQRT((1-C171)*($D$6-$B$6)*($D$6-$C$6)))</f>
        <v>6.47426554240668</v>
      </c>
      <c r="E171" s="26" t="n">
        <f aca="true">MAX(0,$E$6+$F$6*_xlfn.NORM.S.INV(RAND()))</f>
        <v>4.17412273367291</v>
      </c>
      <c r="F171" s="27" t="n">
        <f aca="false">1/(1+EXP(-03_Inputs_Assumptions!$B$14*(E171-03_Inputs_Assumptions!$B$5)))</f>
        <v>0.0146801608712579</v>
      </c>
      <c r="G171" s="28" t="n">
        <f aca="false">D171*04_Baseline_PnL!$B$15*F171*04_Baseline_PnL!$B$14</f>
        <v>27177.5813313242</v>
      </c>
      <c r="H171" s="28" t="n">
        <f aca="false">D171*03_Inputs_Assumptions!$B$13*01_Macro_Data!$B$97*($G$6-1)+D171*04_Baseline_PnL!$B$15*04_Baseline_PnL!$B$13*03_Inputs_Assumptions!$B$15*($H$6-1)</f>
        <v>790958.431609608</v>
      </c>
      <c r="I171" s="16" t="n">
        <f aca="false">G171+H171</f>
        <v>818136.012940932</v>
      </c>
    </row>
    <row r="172" customFormat="false" ht="15" hidden="false" customHeight="true" outlineLevel="0" collapsed="false">
      <c r="A172" s="4" t="s">
        <v>302</v>
      </c>
      <c r="B172" s="4" t="n">
        <v>162</v>
      </c>
      <c r="C172" s="24" t="n">
        <f aca="true">RAND()</f>
        <v>0.992767218159202</v>
      </c>
      <c r="D172" s="25" t="n">
        <f aca="false">IF(C172&lt;(($C$6-$B$6)/($D$6-$B$6)),$B$6+SQRT(C172*($D$6-$B$6)*($C$6-$B$6)),$D$6-SQRT((1-C172)*($D$6-$B$6)*($D$6-$C$6)))</f>
        <v>18.9242467315747</v>
      </c>
      <c r="E172" s="26" t="n">
        <f aca="true">MAX(0,$E$6+$F$6*_xlfn.NORM.S.INV(RAND()))</f>
        <v>17.6666159571476</v>
      </c>
      <c r="F172" s="27" t="n">
        <f aca="false">1/(1+EXP(-03_Inputs_Assumptions!$B$14*(E172-03_Inputs_Assumptions!$B$5)))</f>
        <v>0.302938038988932</v>
      </c>
      <c r="G172" s="28" t="n">
        <f aca="false">D172*04_Baseline_PnL!$B$15*F172*04_Baseline_PnL!$B$14</f>
        <v>1639313.03693077</v>
      </c>
      <c r="H172" s="28" t="n">
        <f aca="false">D172*03_Inputs_Assumptions!$B$13*01_Macro_Data!$B$97*($G$6-1)+D172*04_Baseline_PnL!$B$15*04_Baseline_PnL!$B$13*03_Inputs_Assumptions!$B$15*($H$6-1)</f>
        <v>2311967.65349779</v>
      </c>
      <c r="I172" s="16" t="n">
        <f aca="false">G172+H172</f>
        <v>3951280.69042856</v>
      </c>
    </row>
    <row r="173" customFormat="false" ht="15" hidden="false" customHeight="true" outlineLevel="0" collapsed="false">
      <c r="A173" s="4" t="s">
        <v>302</v>
      </c>
      <c r="B173" s="4" t="n">
        <v>163</v>
      </c>
      <c r="C173" s="24" t="n">
        <f aca="true">RAND()</f>
        <v>0.320048214319922</v>
      </c>
      <c r="D173" s="25" t="n">
        <f aca="false">IF(C173&lt;(($C$6-$B$6)/($D$6-$B$6)),$B$6+SQRT(C173*($D$6-$B$6)*($C$6-$B$6)),$D$6-SQRT((1-C173)*($D$6-$B$6)*($D$6-$C$6)))</f>
        <v>9.54298011675241</v>
      </c>
      <c r="E173" s="26" t="n">
        <f aca="true">MAX(0,$E$6+$F$6*_xlfn.NORM.S.INV(RAND()))</f>
        <v>8.63692106414101</v>
      </c>
      <c r="F173" s="27" t="n">
        <f aca="false">1/(1+EXP(-03_Inputs_Assumptions!$B$14*(E173-03_Inputs_Assumptions!$B$5)))</f>
        <v>0.0434896041090865</v>
      </c>
      <c r="G173" s="28" t="n">
        <f aca="false">D173*04_Baseline_PnL!$B$15*F173*04_Baseline_PnL!$B$14</f>
        <v>118674.921865637</v>
      </c>
      <c r="H173" s="28" t="n">
        <f aca="false">D173*03_Inputs_Assumptions!$B$13*01_Macro_Data!$B$97*($G$6-1)+D173*04_Baseline_PnL!$B$15*04_Baseline_PnL!$B$13*03_Inputs_Assumptions!$B$15*($H$6-1)</f>
        <v>1165862.0636716</v>
      </c>
      <c r="I173" s="16" t="n">
        <f aca="false">G173+H173</f>
        <v>1284536.98553723</v>
      </c>
    </row>
    <row r="174" customFormat="false" ht="15" hidden="false" customHeight="true" outlineLevel="0" collapsed="false">
      <c r="A174" s="4" t="s">
        <v>302</v>
      </c>
      <c r="B174" s="4" t="n">
        <v>164</v>
      </c>
      <c r="C174" s="24" t="n">
        <f aca="true">RAND()</f>
        <v>0.479632895924409</v>
      </c>
      <c r="D174" s="25" t="n">
        <f aca="false">IF(C174&lt;(($C$6-$B$6)/($D$6-$B$6)),$B$6+SQRT(C174*($D$6-$B$6)*($C$6-$B$6)),$D$6-SQRT((1-C174)*($D$6-$B$6)*($D$6-$C$6)))</f>
        <v>10.8753774515274</v>
      </c>
      <c r="E174" s="26" t="n">
        <f aca="true">MAX(0,$E$6+$F$6*_xlfn.NORM.S.INV(RAND()))</f>
        <v>9.11376343822734</v>
      </c>
      <c r="F174" s="27" t="n">
        <f aca="false">1/(1+EXP(-03_Inputs_Assumptions!$B$14*(E174-03_Inputs_Assumptions!$B$5)))</f>
        <v>0.0487274012262264</v>
      </c>
      <c r="G174" s="28" t="n">
        <f aca="false">D174*04_Baseline_PnL!$B$15*F174*04_Baseline_PnL!$B$14</f>
        <v>151532.947197408</v>
      </c>
      <c r="H174" s="28" t="n">
        <f aca="false">D174*03_Inputs_Assumptions!$B$13*01_Macro_Data!$B$97*($G$6-1)+D174*04_Baseline_PnL!$B$15*04_Baseline_PnL!$B$13*03_Inputs_Assumptions!$B$15*($H$6-1)</f>
        <v>1328640.51310212</v>
      </c>
      <c r="I174" s="16" t="n">
        <f aca="false">G174+H174</f>
        <v>1480173.46029953</v>
      </c>
    </row>
    <row r="175" customFormat="false" ht="15" hidden="false" customHeight="true" outlineLevel="0" collapsed="false">
      <c r="A175" s="4" t="s">
        <v>302</v>
      </c>
      <c r="B175" s="4" t="n">
        <v>165</v>
      </c>
      <c r="C175" s="24" t="n">
        <f aca="true">RAND()</f>
        <v>0.4509621567398</v>
      </c>
      <c r="D175" s="25" t="n">
        <f aca="false">IF(C175&lt;(($C$6-$B$6)/($D$6-$B$6)),$B$6+SQRT(C175*($D$6-$B$6)*($C$6-$B$6)),$D$6-SQRT((1-C175)*($D$6-$B$6)*($D$6-$C$6)))</f>
        <v>10.6273773722809</v>
      </c>
      <c r="E175" s="26" t="n">
        <f aca="true">MAX(0,$E$6+$F$6*_xlfn.NORM.S.INV(RAND()))</f>
        <v>6.60519118084073</v>
      </c>
      <c r="F175" s="27" t="n">
        <f aca="false">1/(1+EXP(-03_Inputs_Assumptions!$B$14*(E175-03_Inputs_Assumptions!$B$5)))</f>
        <v>0.0266306136180834</v>
      </c>
      <c r="G175" s="28" t="n">
        <f aca="false">D175*04_Baseline_PnL!$B$15*F175*04_Baseline_PnL!$B$14</f>
        <v>80927.6179012588</v>
      </c>
      <c r="H175" s="28" t="n">
        <f aca="false">D175*03_Inputs_Assumptions!$B$13*01_Macro_Data!$B$97*($G$6-1)+D175*04_Baseline_PnL!$B$15*04_Baseline_PnL!$B$13*03_Inputs_Assumptions!$B$15*($H$6-1)</f>
        <v>1298342.44262061</v>
      </c>
      <c r="I175" s="16" t="n">
        <f aca="false">G175+H175</f>
        <v>1379270.06052187</v>
      </c>
    </row>
    <row r="176" customFormat="false" ht="15" hidden="false" customHeight="true" outlineLevel="0" collapsed="false">
      <c r="A176" s="4" t="s">
        <v>302</v>
      </c>
      <c r="B176" s="4" t="n">
        <v>166</v>
      </c>
      <c r="C176" s="24" t="n">
        <f aca="true">RAND()</f>
        <v>0.692484614678902</v>
      </c>
      <c r="D176" s="25" t="n">
        <f aca="false">IF(C176&lt;(($C$6-$B$6)/($D$6-$B$6)),$B$6+SQRT(C176*($D$6-$B$6)*($C$6-$B$6)),$D$6-SQRT((1-C176)*($D$6-$B$6)*($D$6-$C$6)))</f>
        <v>12.9855533610002</v>
      </c>
      <c r="E176" s="26" t="n">
        <f aca="true">MAX(0,$E$6+$F$6*_xlfn.NORM.S.INV(RAND()))</f>
        <v>5.12766852441656</v>
      </c>
      <c r="F176" s="27" t="n">
        <f aca="false">1/(1+EXP(-03_Inputs_Assumptions!$B$14*(E176-03_Inputs_Assumptions!$B$5)))</f>
        <v>0.0185587119269286</v>
      </c>
      <c r="G176" s="28" t="n">
        <f aca="false">D176*04_Baseline_PnL!$B$15*F176*04_Baseline_PnL!$B$14</f>
        <v>68912.4631164427</v>
      </c>
      <c r="H176" s="28" t="n">
        <f aca="false">D176*03_Inputs_Assumptions!$B$13*01_Macro_Data!$B$97*($G$6-1)+D176*04_Baseline_PnL!$B$15*04_Baseline_PnL!$B$13*03_Inputs_Assumptions!$B$15*($H$6-1)</f>
        <v>1586439.85989205</v>
      </c>
      <c r="I176" s="16" t="n">
        <f aca="false">G176+H176</f>
        <v>1655352.32300849</v>
      </c>
    </row>
    <row r="177" customFormat="false" ht="15" hidden="false" customHeight="true" outlineLevel="0" collapsed="false">
      <c r="A177" s="4" t="s">
        <v>302</v>
      </c>
      <c r="B177" s="4" t="n">
        <v>167</v>
      </c>
      <c r="C177" s="24" t="n">
        <f aca="true">RAND()</f>
        <v>0.93045487525604</v>
      </c>
      <c r="D177" s="25" t="n">
        <f aca="false">IF(C177&lt;(($C$6-$B$6)/($D$6-$B$6)),$B$6+SQRT(C177*($D$6-$B$6)*($C$6-$B$6)),$D$6-SQRT((1-C177)*($D$6-$B$6)*($D$6-$C$6)))</f>
        <v>16.6642512146396</v>
      </c>
      <c r="E177" s="26" t="n">
        <f aca="true">MAX(0,$E$6+$F$6*_xlfn.NORM.S.INV(RAND()))</f>
        <v>17.4457345422835</v>
      </c>
      <c r="F177" s="27" t="n">
        <f aca="false">1/(1+EXP(-03_Inputs_Assumptions!$B$14*(E177-03_Inputs_Assumptions!$B$5)))</f>
        <v>0.291405768064443</v>
      </c>
      <c r="G177" s="28" t="n">
        <f aca="false">D177*04_Baseline_PnL!$B$15*F177*04_Baseline_PnL!$B$14</f>
        <v>1388588.06825949</v>
      </c>
      <c r="H177" s="28" t="n">
        <f aca="false">D177*03_Inputs_Assumptions!$B$13*01_Macro_Data!$B$97*($G$6-1)+D177*04_Baseline_PnL!$B$15*04_Baseline_PnL!$B$13*03_Inputs_Assumptions!$B$15*($H$6-1)</f>
        <v>2035864.90519203</v>
      </c>
      <c r="I177" s="16" t="n">
        <f aca="false">G177+H177</f>
        <v>3424452.97345153</v>
      </c>
    </row>
    <row r="178" customFormat="false" ht="15" hidden="false" customHeight="true" outlineLevel="0" collapsed="false">
      <c r="A178" s="4" t="s">
        <v>302</v>
      </c>
      <c r="B178" s="4" t="n">
        <v>168</v>
      </c>
      <c r="C178" s="24" t="n">
        <f aca="true">RAND()</f>
        <v>0.738124581089921</v>
      </c>
      <c r="D178" s="25" t="n">
        <f aca="false">IF(C178&lt;(($C$6-$B$6)/($D$6-$B$6)),$B$6+SQRT(C178*($D$6-$B$6)*($C$6-$B$6)),$D$6-SQRT((1-C178)*($D$6-$B$6)*($D$6-$C$6)))</f>
        <v>13.5269738896238</v>
      </c>
      <c r="E178" s="26" t="n">
        <f aca="true">MAX(0,$E$6+$F$6*_xlfn.NORM.S.INV(RAND()))</f>
        <v>12.0916477120285</v>
      </c>
      <c r="F178" s="27" t="n">
        <f aca="false">1/(1+EXP(-03_Inputs_Assumptions!$B$14*(E178-03_Inputs_Assumptions!$B$5)))</f>
        <v>0.0973442073536901</v>
      </c>
      <c r="G178" s="28" t="n">
        <f aca="false">D178*04_Baseline_PnL!$B$15*F178*04_Baseline_PnL!$B$14</f>
        <v>376530.573791896</v>
      </c>
      <c r="H178" s="28" t="n">
        <f aca="false">D178*03_Inputs_Assumptions!$B$13*01_Macro_Data!$B$97*($G$6-1)+D178*04_Baseline_PnL!$B$15*04_Baseline_PnL!$B$13*03_Inputs_Assumptions!$B$15*($H$6-1)</f>
        <v>1652584.98930578</v>
      </c>
      <c r="I178" s="16" t="n">
        <f aca="false">G178+H178</f>
        <v>2029115.56309767</v>
      </c>
    </row>
    <row r="179" customFormat="false" ht="15" hidden="false" customHeight="true" outlineLevel="0" collapsed="false">
      <c r="A179" s="4" t="s">
        <v>302</v>
      </c>
      <c r="B179" s="4" t="n">
        <v>169</v>
      </c>
      <c r="C179" s="24" t="n">
        <f aca="true">RAND()</f>
        <v>0.520817658320516</v>
      </c>
      <c r="D179" s="25" t="n">
        <f aca="false">IF(C179&lt;(($C$6-$B$6)/($D$6-$B$6)),$B$6+SQRT(C179*($D$6-$B$6)*($C$6-$B$6)),$D$6-SQRT((1-C179)*($D$6-$B$6)*($D$6-$C$6)))</f>
        <v>11.2439064264526</v>
      </c>
      <c r="E179" s="26" t="n">
        <f aca="true">MAX(0,$E$6+$F$6*_xlfn.NORM.S.INV(RAND()))</f>
        <v>6.86606676285003</v>
      </c>
      <c r="F179" s="27" t="n">
        <f aca="false">1/(1+EXP(-03_Inputs_Assumptions!$B$14*(E179-03_Inputs_Assumptions!$B$5)))</f>
        <v>0.0283743973969444</v>
      </c>
      <c r="G179" s="28" t="n">
        <f aca="false">D179*04_Baseline_PnL!$B$15*F179*04_Baseline_PnL!$B$14</f>
        <v>91229.0916868653</v>
      </c>
      <c r="H179" s="28" t="n">
        <f aca="false">D179*03_Inputs_Assumptions!$B$13*01_Macro_Data!$B$97*($G$6-1)+D179*04_Baseline_PnL!$B$15*04_Baseline_PnL!$B$13*03_Inputs_Assumptions!$B$15*($H$6-1)</f>
        <v>1373663.55055715</v>
      </c>
      <c r="I179" s="16" t="n">
        <f aca="false">G179+H179</f>
        <v>1464892.64224401</v>
      </c>
    </row>
    <row r="180" customFormat="false" ht="15" hidden="false" customHeight="true" outlineLevel="0" collapsed="false">
      <c r="A180" s="4" t="s">
        <v>302</v>
      </c>
      <c r="B180" s="4" t="n">
        <v>170</v>
      </c>
      <c r="C180" s="24" t="n">
        <f aca="true">RAND()</f>
        <v>0.727670106002672</v>
      </c>
      <c r="D180" s="25" t="n">
        <f aca="false">IF(C180&lt;(($C$6-$B$6)/($D$6-$B$6)),$B$6+SQRT(C180*($D$6-$B$6)*($C$6-$B$6)),$D$6-SQRT((1-C180)*($D$6-$B$6)*($D$6-$C$6)))</f>
        <v>13.3990316589479</v>
      </c>
      <c r="E180" s="26" t="n">
        <f aca="true">MAX(0,$E$6+$F$6*_xlfn.NORM.S.INV(RAND()))</f>
        <v>11.7023596366826</v>
      </c>
      <c r="F180" s="27" t="n">
        <f aca="false">1/(1+EXP(-03_Inputs_Assumptions!$B$14*(E180-03_Inputs_Assumptions!$B$5)))</f>
        <v>0.0891214042363321</v>
      </c>
      <c r="G180" s="28" t="n">
        <f aca="false">D180*04_Baseline_PnL!$B$15*F180*04_Baseline_PnL!$B$14</f>
        <v>341463.993607607</v>
      </c>
      <c r="H180" s="28" t="n">
        <f aca="false">D180*03_Inputs_Assumptions!$B$13*01_Macro_Data!$B$97*($G$6-1)+D180*04_Baseline_PnL!$B$15*04_Baseline_PnL!$B$13*03_Inputs_Assumptions!$B$15*($H$6-1)</f>
        <v>1636954.338161</v>
      </c>
      <c r="I180" s="16" t="n">
        <f aca="false">G180+H180</f>
        <v>1978418.33176861</v>
      </c>
    </row>
    <row r="181" customFormat="false" ht="15" hidden="false" customHeight="true" outlineLevel="0" collapsed="false">
      <c r="A181" s="4" t="s">
        <v>302</v>
      </c>
      <c r="B181" s="4" t="n">
        <v>171</v>
      </c>
      <c r="C181" s="24" t="n">
        <f aca="true">RAND()</f>
        <v>0.0911764518593796</v>
      </c>
      <c r="D181" s="25" t="n">
        <f aca="false">IF(C181&lt;(($C$6-$B$6)/($D$6-$B$6)),$B$6+SQRT(C181*($D$6-$B$6)*($C$6-$B$6)),$D$6-SQRT((1-C181)*($D$6-$B$6)*($D$6-$C$6)))</f>
        <v>6.95853669547978</v>
      </c>
      <c r="E181" s="26" t="n">
        <f aca="true">MAX(0,$E$6+$F$6*_xlfn.NORM.S.INV(RAND()))</f>
        <v>11.4165451558869</v>
      </c>
      <c r="F181" s="27" t="n">
        <f aca="false">1/(1+EXP(-03_Inputs_Assumptions!$B$14*(E181-03_Inputs_Assumptions!$B$5)))</f>
        <v>0.0834886535022883</v>
      </c>
      <c r="G181" s="28" t="n">
        <f aca="false">D181*04_Baseline_PnL!$B$15*F181*04_Baseline_PnL!$B$14</f>
        <v>166124.94872584</v>
      </c>
      <c r="H181" s="28" t="n">
        <f aca="false">D181*03_Inputs_Assumptions!$B$13*01_Macro_Data!$B$97*($G$6-1)+D181*04_Baseline_PnL!$B$15*04_Baseline_PnL!$B$13*03_Inputs_Assumptions!$B$15*($H$6-1)</f>
        <v>850121.644672087</v>
      </c>
      <c r="I181" s="16" t="n">
        <f aca="false">G181+H181</f>
        <v>1016246.59339793</v>
      </c>
    </row>
    <row r="182" customFormat="false" ht="15" hidden="false" customHeight="true" outlineLevel="0" collapsed="false">
      <c r="A182" s="4" t="s">
        <v>302</v>
      </c>
      <c r="B182" s="4" t="n">
        <v>172</v>
      </c>
      <c r="C182" s="24" t="n">
        <f aca="true">RAND()</f>
        <v>0.85456426448484</v>
      </c>
      <c r="D182" s="25" t="n">
        <f aca="false">IF(C182&lt;(($C$6-$B$6)/($D$6-$B$6)),$B$6+SQRT(C182*($D$6-$B$6)*($C$6-$B$6)),$D$6-SQRT((1-C182)*($D$6-$B$6)*($D$6-$C$6)))</f>
        <v>15.1761304243973</v>
      </c>
      <c r="E182" s="26" t="n">
        <f aca="true">MAX(0,$E$6+$F$6*_xlfn.NORM.S.INV(RAND()))</f>
        <v>8.45420115446975</v>
      </c>
      <c r="F182" s="27" t="n">
        <f aca="false">1/(1+EXP(-03_Inputs_Assumptions!$B$14*(E182-03_Inputs_Assumptions!$B$5)))</f>
        <v>0.0416285299067204</v>
      </c>
      <c r="G182" s="28" t="n">
        <f aca="false">D182*04_Baseline_PnL!$B$15*F182*04_Baseline_PnL!$B$14</f>
        <v>180651.514036836</v>
      </c>
      <c r="H182" s="28" t="n">
        <f aca="false">D182*03_Inputs_Assumptions!$B$13*01_Macro_Data!$B$97*($G$6-1)+D182*04_Baseline_PnL!$B$15*04_Baseline_PnL!$B$13*03_Inputs_Assumptions!$B$15*($H$6-1)</f>
        <v>1854061.78349645</v>
      </c>
      <c r="I182" s="16" t="n">
        <f aca="false">G182+H182</f>
        <v>2034713.29753328</v>
      </c>
    </row>
    <row r="183" customFormat="false" ht="15" hidden="false" customHeight="true" outlineLevel="0" collapsed="false">
      <c r="A183" s="4" t="s">
        <v>302</v>
      </c>
      <c r="B183" s="4" t="n">
        <v>173</v>
      </c>
      <c r="C183" s="24" t="n">
        <f aca="true">RAND()</f>
        <v>0.0193881272739307</v>
      </c>
      <c r="D183" s="25" t="n">
        <f aca="false">IF(C183&lt;(($C$6-$B$6)/($D$6-$B$6)),$B$6+SQRT(C183*($D$6-$B$6)*($C$6-$B$6)),$D$6-SQRT((1-C183)*($D$6-$B$6)*($D$6-$C$6)))</f>
        <v>5.36428010991048</v>
      </c>
      <c r="E183" s="26" t="n">
        <f aca="true">MAX(0,$E$6+$F$6*_xlfn.NORM.S.INV(RAND()))</f>
        <v>13.1018054669758</v>
      </c>
      <c r="F183" s="27" t="n">
        <f aca="false">1/(1+EXP(-03_Inputs_Assumptions!$B$14*(E183-03_Inputs_Assumptions!$B$5)))</f>
        <v>0.121901157392079</v>
      </c>
      <c r="G183" s="28" t="n">
        <f aca="false">D183*04_Baseline_PnL!$B$15*F183*04_Baseline_PnL!$B$14</f>
        <v>186985.856455191</v>
      </c>
      <c r="H183" s="28" t="n">
        <f aca="false">D183*03_Inputs_Assumptions!$B$13*01_Macro_Data!$B$97*($G$6-1)+D183*04_Baseline_PnL!$B$15*04_Baseline_PnL!$B$13*03_Inputs_Assumptions!$B$15*($H$6-1)</f>
        <v>655351.955315719</v>
      </c>
      <c r="I183" s="16" t="n">
        <f aca="false">G183+H183</f>
        <v>842337.81177091</v>
      </c>
    </row>
    <row r="184" customFormat="false" ht="15" hidden="false" customHeight="true" outlineLevel="0" collapsed="false">
      <c r="A184" s="4" t="s">
        <v>302</v>
      </c>
      <c r="B184" s="4" t="n">
        <v>174</v>
      </c>
      <c r="C184" s="24" t="n">
        <f aca="true">RAND()</f>
        <v>0.322966469005717</v>
      </c>
      <c r="D184" s="25" t="n">
        <f aca="false">IF(C184&lt;(($C$6-$B$6)/($D$6-$B$6)),$B$6+SQRT(C184*($D$6-$B$6)*($C$6-$B$6)),$D$6-SQRT((1-C184)*($D$6-$B$6)*($D$6-$C$6)))</f>
        <v>9.56819369495609</v>
      </c>
      <c r="E184" s="26" t="n">
        <f aca="true">MAX(0,$E$6+$F$6*_xlfn.NORM.S.INV(RAND()))</f>
        <v>15.9623121112061</v>
      </c>
      <c r="F184" s="27" t="n">
        <f aca="false">1/(1+EXP(-03_Inputs_Assumptions!$B$14*(E184-03_Inputs_Assumptions!$B$5)))</f>
        <v>0.221073412535633</v>
      </c>
      <c r="G184" s="28" t="n">
        <f aca="false">D184*04_Baseline_PnL!$B$15*F184*04_Baseline_PnL!$B$14</f>
        <v>604861.517684123</v>
      </c>
      <c r="H184" s="28" t="n">
        <f aca="false">D184*03_Inputs_Assumptions!$B$13*01_Macro_Data!$B$97*($G$6-1)+D184*04_Baseline_PnL!$B$15*04_Baseline_PnL!$B$13*03_Inputs_Assumptions!$B$15*($H$6-1)</f>
        <v>1168942.39643531</v>
      </c>
      <c r="I184" s="16" t="n">
        <f aca="false">G184+H184</f>
        <v>1773803.91411943</v>
      </c>
    </row>
    <row r="185" customFormat="false" ht="15" hidden="false" customHeight="true" outlineLevel="0" collapsed="false">
      <c r="A185" s="4" t="s">
        <v>302</v>
      </c>
      <c r="B185" s="4" t="n">
        <v>175</v>
      </c>
      <c r="C185" s="24" t="n">
        <f aca="true">RAND()</f>
        <v>0.70520730461738</v>
      </c>
      <c r="D185" s="25" t="n">
        <f aca="false">IF(C185&lt;(($C$6-$B$6)/($D$6-$B$6)),$B$6+SQRT(C185*($D$6-$B$6)*($C$6-$B$6)),$D$6-SQRT((1-C185)*($D$6-$B$6)*($D$6-$C$6)))</f>
        <v>13.1321887576012</v>
      </c>
      <c r="E185" s="26" t="n">
        <f aca="true">MAX(0,$E$6+$F$6*_xlfn.NORM.S.INV(RAND()))</f>
        <v>10.2463564720504</v>
      </c>
      <c r="F185" s="27" t="n">
        <f aca="false">1/(1+EXP(-03_Inputs_Assumptions!$B$14*(E185-03_Inputs_Assumptions!$B$5)))</f>
        <v>0.0636606768180681</v>
      </c>
      <c r="G185" s="28" t="n">
        <f aca="false">D185*04_Baseline_PnL!$B$15*F185*04_Baseline_PnL!$B$14</f>
        <v>239055.009706909</v>
      </c>
      <c r="H185" s="28" t="n">
        <f aca="false">D185*03_Inputs_Assumptions!$B$13*01_Macro_Data!$B$97*($G$6-1)+D185*04_Baseline_PnL!$B$15*04_Baseline_PnL!$B$13*03_Inputs_Assumptions!$B$15*($H$6-1)</f>
        <v>1604354.24764064</v>
      </c>
      <c r="I185" s="16" t="n">
        <f aca="false">G185+H185</f>
        <v>1843409.25734755</v>
      </c>
    </row>
    <row r="186" customFormat="false" ht="15" hidden="false" customHeight="true" outlineLevel="0" collapsed="false">
      <c r="A186" s="4" t="s">
        <v>302</v>
      </c>
      <c r="B186" s="4" t="n">
        <v>176</v>
      </c>
      <c r="C186" s="24" t="n">
        <f aca="true">RAND()</f>
        <v>0.599867660527601</v>
      </c>
      <c r="D186" s="25" t="n">
        <f aca="false">IF(C186&lt;(($C$6-$B$6)/($D$6-$B$6)),$B$6+SQRT(C186*($D$6-$B$6)*($C$6-$B$6)),$D$6-SQRT((1-C186)*($D$6-$B$6)*($D$6-$C$6)))</f>
        <v>11.9986767147188</v>
      </c>
      <c r="E186" s="26" t="n">
        <f aca="true">MAX(0,$E$6+$F$6*_xlfn.NORM.S.INV(RAND()))</f>
        <v>19.6873624142752</v>
      </c>
      <c r="F186" s="27" t="n">
        <f aca="false">1/(1+EXP(-03_Inputs_Assumptions!$B$14*(E186-03_Inputs_Assumptions!$B$5)))</f>
        <v>0.41868853763833</v>
      </c>
      <c r="G186" s="28" t="n">
        <f aca="false">D186*04_Baseline_PnL!$B$15*F186*04_Baseline_PnL!$B$14</f>
        <v>1436527.36948549</v>
      </c>
      <c r="H186" s="28" t="n">
        <f aca="false">D186*03_Inputs_Assumptions!$B$13*01_Macro_Data!$B$97*($G$6-1)+D186*04_Baseline_PnL!$B$15*04_Baseline_PnL!$B$13*03_Inputs_Assumptions!$B$15*($H$6-1)</f>
        <v>1465873.53476651</v>
      </c>
      <c r="I186" s="16" t="n">
        <f aca="false">G186+H186</f>
        <v>2902400.90425199</v>
      </c>
    </row>
    <row r="187" customFormat="false" ht="15" hidden="false" customHeight="true" outlineLevel="0" collapsed="false">
      <c r="A187" s="4" t="s">
        <v>302</v>
      </c>
      <c r="B187" s="4" t="n">
        <v>177</v>
      </c>
      <c r="C187" s="24" t="n">
        <f aca="true">RAND()</f>
        <v>0.767388716925656</v>
      </c>
      <c r="D187" s="25" t="n">
        <f aca="false">IF(C187&lt;(($C$6-$B$6)/($D$6-$B$6)),$B$6+SQRT(C187*($D$6-$B$6)*($C$6-$B$6)),$D$6-SQRT((1-C187)*($D$6-$B$6)*($D$6-$C$6)))</f>
        <v>13.8993602555228</v>
      </c>
      <c r="E187" s="26" t="n">
        <f aca="true">MAX(0,$E$6+$F$6*_xlfn.NORM.S.INV(RAND()))</f>
        <v>11.8650768065692</v>
      </c>
      <c r="F187" s="27" t="n">
        <f aca="false">1/(1+EXP(-03_Inputs_Assumptions!$B$14*(E187-03_Inputs_Assumptions!$B$5)))</f>
        <v>0.0924793622525505</v>
      </c>
      <c r="G187" s="28" t="n">
        <f aca="false">D187*04_Baseline_PnL!$B$15*F187*04_Baseline_PnL!$B$14</f>
        <v>367560.741415961</v>
      </c>
      <c r="H187" s="28" t="n">
        <f aca="false">D187*03_Inputs_Assumptions!$B$13*01_Macro_Data!$B$97*($G$6-1)+D187*04_Baseline_PnL!$B$15*04_Baseline_PnL!$B$13*03_Inputs_Assumptions!$B$15*($H$6-1)</f>
        <v>1698079.28267312</v>
      </c>
      <c r="I187" s="16" t="n">
        <f aca="false">G187+H187</f>
        <v>2065640.02408908</v>
      </c>
    </row>
    <row r="188" customFormat="false" ht="15" hidden="false" customHeight="true" outlineLevel="0" collapsed="false">
      <c r="A188" s="4" t="s">
        <v>302</v>
      </c>
      <c r="B188" s="4" t="n">
        <v>178</v>
      </c>
      <c r="C188" s="24" t="n">
        <f aca="true">RAND()</f>
        <v>0.102454985497023</v>
      </c>
      <c r="D188" s="25" t="n">
        <f aca="false">IF(C188&lt;(($C$6-$B$6)/($D$6-$B$6)),$B$6+SQRT(C188*($D$6-$B$6)*($C$6-$B$6)),$D$6-SQRT((1-C188)*($D$6-$B$6)*($D$6-$C$6)))</f>
        <v>7.13618854785777</v>
      </c>
      <c r="E188" s="26" t="n">
        <f aca="true">MAX(0,$E$6+$F$6*_xlfn.NORM.S.INV(RAND()))</f>
        <v>5.36108216475377</v>
      </c>
      <c r="F188" s="27" t="n">
        <f aca="false">1/(1+EXP(-03_Inputs_Assumptions!$B$14*(E188-03_Inputs_Assumptions!$B$5)))</f>
        <v>0.0196519814577111</v>
      </c>
      <c r="G188" s="28" t="n">
        <f aca="false">D188*04_Baseline_PnL!$B$15*F188*04_Baseline_PnL!$B$14</f>
        <v>40101.6408484979</v>
      </c>
      <c r="H188" s="28" t="n">
        <f aca="false">D188*03_Inputs_Assumptions!$B$13*01_Macro_Data!$B$97*($G$6-1)+D188*04_Baseline_PnL!$B$15*04_Baseline_PnL!$B$13*03_Inputs_Assumptions!$B$15*($H$6-1)</f>
        <v>871825.300416365</v>
      </c>
      <c r="I188" s="16" t="n">
        <f aca="false">G188+H188</f>
        <v>911926.941264863</v>
      </c>
    </row>
    <row r="189" customFormat="false" ht="15" hidden="false" customHeight="true" outlineLevel="0" collapsed="false">
      <c r="A189" s="4" t="s">
        <v>302</v>
      </c>
      <c r="B189" s="4" t="n">
        <v>179</v>
      </c>
      <c r="C189" s="24" t="n">
        <f aca="true">RAND()</f>
        <v>0.599967324470506</v>
      </c>
      <c r="D189" s="25" t="n">
        <f aca="false">IF(C189&lt;(($C$6-$B$6)/($D$6-$B$6)),$B$6+SQRT(C189*($D$6-$B$6)*($C$6-$B$6)),$D$6-SQRT((1-C189)*($D$6-$B$6)*($D$6-$C$6)))</f>
        <v>11.9996732513779</v>
      </c>
      <c r="E189" s="26" t="n">
        <f aca="true">MAX(0,$E$6+$F$6*_xlfn.NORM.S.INV(RAND()))</f>
        <v>14.1748574453171</v>
      </c>
      <c r="F189" s="27" t="n">
        <f aca="false">1/(1+EXP(-03_Inputs_Assumptions!$B$14*(E189-03_Inputs_Assumptions!$B$5)))</f>
        <v>0.153646106382912</v>
      </c>
      <c r="G189" s="28" t="n">
        <f aca="false">D189*04_Baseline_PnL!$B$15*F189*04_Baseline_PnL!$B$14</f>
        <v>527206.14151219</v>
      </c>
      <c r="H189" s="28" t="n">
        <f aca="false">D189*03_Inputs_Assumptions!$B$13*01_Macro_Data!$B$97*($G$6-1)+D189*04_Baseline_PnL!$B$15*04_Baseline_PnL!$B$13*03_Inputs_Assumptions!$B$15*($H$6-1)</f>
        <v>1465995.28125153</v>
      </c>
      <c r="I189" s="16" t="n">
        <f aca="false">G189+H189</f>
        <v>1993201.42276372</v>
      </c>
    </row>
    <row r="190" customFormat="false" ht="15" hidden="false" customHeight="true" outlineLevel="0" collapsed="false">
      <c r="A190" s="4" t="s">
        <v>302</v>
      </c>
      <c r="B190" s="4" t="n">
        <v>180</v>
      </c>
      <c r="C190" s="24" t="n">
        <f aca="true">RAND()</f>
        <v>0.721883671596028</v>
      </c>
      <c r="D190" s="25" t="n">
        <f aca="false">IF(C190&lt;(($C$6-$B$6)/($D$6-$B$6)),$B$6+SQRT(C190*($D$6-$B$6)*($C$6-$B$6)),$D$6-SQRT((1-C190)*($D$6-$B$6)*($D$6-$C$6)))</f>
        <v>13.3292719629237</v>
      </c>
      <c r="E190" s="26" t="n">
        <f aca="true">MAX(0,$E$6+$F$6*_xlfn.NORM.S.INV(RAND()))</f>
        <v>19.9805072846247</v>
      </c>
      <c r="F190" s="27" t="n">
        <f aca="false">1/(1+EXP(-03_Inputs_Assumptions!$B$14*(E190-03_Inputs_Assumptions!$B$5)))</f>
        <v>0.43662440940328</v>
      </c>
      <c r="G190" s="28" t="n">
        <f aca="false">D190*04_Baseline_PnL!$B$15*F190*04_Baseline_PnL!$B$14</f>
        <v>1664193.88391967</v>
      </c>
      <c r="H190" s="28" t="n">
        <f aca="false">D190*03_Inputs_Assumptions!$B$13*01_Macro_Data!$B$97*($G$6-1)+D190*04_Baseline_PnL!$B$15*04_Baseline_PnL!$B$13*03_Inputs_Assumptions!$B$15*($H$6-1)</f>
        <v>1628431.82400161</v>
      </c>
      <c r="I190" s="16" t="n">
        <f aca="false">G190+H190</f>
        <v>3292625.70792127</v>
      </c>
    </row>
    <row r="191" customFormat="false" ht="15" hidden="false" customHeight="true" outlineLevel="0" collapsed="false">
      <c r="A191" s="4" t="s">
        <v>302</v>
      </c>
      <c r="B191" s="4" t="n">
        <v>181</v>
      </c>
      <c r="C191" s="24" t="n">
        <f aca="true">RAND()</f>
        <v>0.0442495623127897</v>
      </c>
      <c r="D191" s="25" t="n">
        <f aca="false">IF(C191&lt;(($C$6-$B$6)/($D$6-$B$6)),$B$6+SQRT(C191*($D$6-$B$6)*($C$6-$B$6)),$D$6-SQRT((1-C191)*($D$6-$B$6)*($D$6-$C$6)))</f>
        <v>6.06105749119907</v>
      </c>
      <c r="E191" s="26" t="n">
        <f aca="true">MAX(0,$E$6+$F$6*_xlfn.NORM.S.INV(RAND()))</f>
        <v>13.4588757304576</v>
      </c>
      <c r="F191" s="27" t="n">
        <f aca="false">1/(1+EXP(-03_Inputs_Assumptions!$B$14*(E191-03_Inputs_Assumptions!$B$5)))</f>
        <v>0.131783456016742</v>
      </c>
      <c r="G191" s="28" t="n">
        <f aca="false">D191*04_Baseline_PnL!$B$15*F191*04_Baseline_PnL!$B$14</f>
        <v>228401.408317001</v>
      </c>
      <c r="H191" s="28" t="n">
        <f aca="false">D191*03_Inputs_Assumptions!$B$13*01_Macro_Data!$B$97*($G$6-1)+D191*04_Baseline_PnL!$B$15*04_Baseline_PnL!$B$13*03_Inputs_Assumptions!$B$15*($H$6-1)</f>
        <v>740476.969276794</v>
      </c>
      <c r="I191" s="16" t="n">
        <f aca="false">G191+H191</f>
        <v>968878.377593796</v>
      </c>
    </row>
    <row r="192" customFormat="false" ht="15" hidden="false" customHeight="true" outlineLevel="0" collapsed="false">
      <c r="A192" s="4" t="s">
        <v>302</v>
      </c>
      <c r="B192" s="4" t="n">
        <v>182</v>
      </c>
      <c r="C192" s="24" t="n">
        <f aca="true">RAND()</f>
        <v>0.0925743947889104</v>
      </c>
      <c r="D192" s="25" t="n">
        <f aca="false">IF(C192&lt;(($C$6-$B$6)/($D$6-$B$6)),$B$6+SQRT(C192*($D$6-$B$6)*($C$6-$B$6)),$D$6-SQRT((1-C192)*($D$6-$B$6)*($D$6-$C$6)))</f>
        <v>6.98113097661532</v>
      </c>
      <c r="E192" s="26" t="n">
        <f aca="true">MAX(0,$E$6+$F$6*_xlfn.NORM.S.INV(RAND()))</f>
        <v>11.5517406433296</v>
      </c>
      <c r="F192" s="27" t="n">
        <f aca="false">1/(1+EXP(-03_Inputs_Assumptions!$B$14*(E192-03_Inputs_Assumptions!$B$5)))</f>
        <v>0.0861115602390372</v>
      </c>
      <c r="G192" s="28" t="n">
        <f aca="false">D192*04_Baseline_PnL!$B$15*F192*04_Baseline_PnL!$B$14</f>
        <v>171900.335995862</v>
      </c>
      <c r="H192" s="28" t="n">
        <f aca="false">D192*03_Inputs_Assumptions!$B$13*01_Macro_Data!$B$97*($G$6-1)+D192*04_Baseline_PnL!$B$15*04_Baseline_PnL!$B$13*03_Inputs_Assumptions!$B$15*($H$6-1)</f>
        <v>852881.978960703</v>
      </c>
      <c r="I192" s="16" t="n">
        <f aca="false">G192+H192</f>
        <v>1024782.31495657</v>
      </c>
    </row>
    <row r="193" customFormat="false" ht="15" hidden="false" customHeight="true" outlineLevel="0" collapsed="false">
      <c r="A193" s="4" t="s">
        <v>302</v>
      </c>
      <c r="B193" s="4" t="n">
        <v>183</v>
      </c>
      <c r="C193" s="24" t="n">
        <f aca="true">RAND()</f>
        <v>0.0164370757257186</v>
      </c>
      <c r="D193" s="25" t="n">
        <f aca="false">IF(C193&lt;(($C$6-$B$6)/($D$6-$B$6)),$B$6+SQRT(C193*($D$6-$B$6)*($C$6-$B$6)),$D$6-SQRT((1-C193)*($D$6-$B$6)*($D$6-$C$6)))</f>
        <v>5.25616848777104</v>
      </c>
      <c r="E193" s="26" t="n">
        <f aca="true">MAX(0,$E$6+$F$6*_xlfn.NORM.S.INV(RAND()))</f>
        <v>16.520444508871</v>
      </c>
      <c r="F193" s="27" t="n">
        <f aca="false">1/(1+EXP(-03_Inputs_Assumptions!$B$14*(E193-03_Inputs_Assumptions!$B$5)))</f>
        <v>0.246031897090678</v>
      </c>
      <c r="G193" s="28" t="n">
        <f aca="false">D193*04_Baseline_PnL!$B$15*F193*04_Baseline_PnL!$B$14</f>
        <v>369785.753029844</v>
      </c>
      <c r="H193" s="28" t="n">
        <f aca="false">D193*03_Inputs_Assumptions!$B$13*01_Macro_Data!$B$97*($G$6-1)+D193*04_Baseline_PnL!$B$15*04_Baseline_PnL!$B$13*03_Inputs_Assumptions!$B$15*($H$6-1)</f>
        <v>642144.001683593</v>
      </c>
      <c r="I193" s="16" t="n">
        <f aca="false">G193+H193</f>
        <v>1011929.75471344</v>
      </c>
    </row>
    <row r="194" customFormat="false" ht="15" hidden="false" customHeight="true" outlineLevel="0" collapsed="false">
      <c r="A194" s="4" t="s">
        <v>302</v>
      </c>
      <c r="B194" s="4" t="n">
        <v>184</v>
      </c>
      <c r="C194" s="24" t="n">
        <f aca="true">RAND()</f>
        <v>0.240782995557548</v>
      </c>
      <c r="D194" s="25" t="n">
        <f aca="false">IF(C194&lt;(($C$6-$B$6)/($D$6-$B$6)),$B$6+SQRT(C194*($D$6-$B$6)*($C$6-$B$6)),$D$6-SQRT((1-C194)*($D$6-$B$6)*($D$6-$C$6)))</f>
        <v>8.80782357970055</v>
      </c>
      <c r="E194" s="26" t="n">
        <f aca="true">MAX(0,$E$6+$F$6*_xlfn.NORM.S.INV(RAND()))</f>
        <v>7.05815418794443</v>
      </c>
      <c r="F194" s="27" t="n">
        <f aca="false">1/(1+EXP(-03_Inputs_Assumptions!$B$14*(E194-03_Inputs_Assumptions!$B$5)))</f>
        <v>0.0297287392556404</v>
      </c>
      <c r="G194" s="28" t="n">
        <f aca="false">D194*04_Baseline_PnL!$B$15*F194*04_Baseline_PnL!$B$14</f>
        <v>74874.6112121762</v>
      </c>
      <c r="H194" s="28" t="n">
        <f aca="false">D194*03_Inputs_Assumptions!$B$13*01_Macro_Data!$B$97*($G$6-1)+D194*04_Baseline_PnL!$B$15*04_Baseline_PnL!$B$13*03_Inputs_Assumptions!$B$15*($H$6-1)</f>
        <v>1076048.28360258</v>
      </c>
      <c r="I194" s="16" t="n">
        <f aca="false">G194+H194</f>
        <v>1150922.89481476</v>
      </c>
    </row>
    <row r="195" customFormat="false" ht="15" hidden="false" customHeight="true" outlineLevel="0" collapsed="false">
      <c r="A195" s="4" t="s">
        <v>302</v>
      </c>
      <c r="B195" s="4" t="n">
        <v>185</v>
      </c>
      <c r="C195" s="24" t="n">
        <f aca="true">RAND()</f>
        <v>0.168481073047286</v>
      </c>
      <c r="D195" s="25" t="n">
        <f aca="false">IF(C195&lt;(($C$6-$B$6)/($D$6-$B$6)),$B$6+SQRT(C195*($D$6-$B$6)*($C$6-$B$6)),$D$6-SQRT((1-C195)*($D$6-$B$6)*($D$6-$C$6)))</f>
        <v>8.02171393967044</v>
      </c>
      <c r="E195" s="26" t="n">
        <f aca="true">MAX(0,$E$6+$F$6*_xlfn.NORM.S.INV(RAND()))</f>
        <v>13.0883854478536</v>
      </c>
      <c r="F195" s="27" t="n">
        <f aca="false">1/(1+EXP(-03_Inputs_Assumptions!$B$14*(E195-03_Inputs_Assumptions!$B$5)))</f>
        <v>0.121542488751561</v>
      </c>
      <c r="G195" s="28" t="n">
        <f aca="false">D195*04_Baseline_PnL!$B$15*F195*04_Baseline_PnL!$B$14</f>
        <v>278794.869089733</v>
      </c>
      <c r="H195" s="28" t="n">
        <f aca="false">D195*03_Inputs_Assumptions!$B$13*01_Macro_Data!$B$97*($G$6-1)+D195*04_Baseline_PnL!$B$15*04_Baseline_PnL!$B$13*03_Inputs_Assumptions!$B$15*($H$6-1)</f>
        <v>980009.583323961</v>
      </c>
      <c r="I195" s="16" t="n">
        <f aca="false">G195+H195</f>
        <v>1258804.45241369</v>
      </c>
    </row>
    <row r="196" customFormat="false" ht="15" hidden="false" customHeight="true" outlineLevel="0" collapsed="false">
      <c r="A196" s="4" t="s">
        <v>302</v>
      </c>
      <c r="B196" s="4" t="n">
        <v>186</v>
      </c>
      <c r="C196" s="24" t="n">
        <f aca="true">RAND()</f>
        <v>0.884083222793705</v>
      </c>
      <c r="D196" s="25" t="n">
        <f aca="false">IF(C196&lt;(($C$6-$B$6)/($D$6-$B$6)),$B$6+SQRT(C196*($D$6-$B$6)*($C$6-$B$6)),$D$6-SQRT((1-C196)*($D$6-$B$6)*($D$6-$C$6)))</f>
        <v>15.6934138400576</v>
      </c>
      <c r="E196" s="26" t="n">
        <f aca="true">MAX(0,$E$6+$F$6*_xlfn.NORM.S.INV(RAND()))</f>
        <v>13.8838642586346</v>
      </c>
      <c r="F196" s="27" t="n">
        <f aca="false">1/(1+EXP(-03_Inputs_Assumptions!$B$14*(E196-03_Inputs_Assumptions!$B$5)))</f>
        <v>0.144422464498759</v>
      </c>
      <c r="G196" s="28" t="n">
        <f aca="false">D196*04_Baseline_PnL!$B$15*F196*04_Baseline_PnL!$B$14</f>
        <v>648099.461153472</v>
      </c>
      <c r="H196" s="28" t="n">
        <f aca="false">D196*03_Inputs_Assumptions!$B$13*01_Macro_Data!$B$97*($G$6-1)+D196*04_Baseline_PnL!$B$15*04_Baseline_PnL!$B$13*03_Inputs_Assumptions!$B$15*($H$6-1)</f>
        <v>1917258.0914743</v>
      </c>
      <c r="I196" s="16" t="n">
        <f aca="false">G196+H196</f>
        <v>2565357.55262778</v>
      </c>
    </row>
    <row r="197" customFormat="false" ht="15" hidden="false" customHeight="true" outlineLevel="0" collapsed="false">
      <c r="A197" s="4" t="s">
        <v>302</v>
      </c>
      <c r="B197" s="4" t="n">
        <v>187</v>
      </c>
      <c r="C197" s="24" t="n">
        <f aca="true">RAND()</f>
        <v>0.952273573408813</v>
      </c>
      <c r="D197" s="25" t="n">
        <f aca="false">IF(C197&lt;(($C$6-$B$6)/($D$6-$B$6)),$B$6+SQRT(C197*($D$6-$B$6)*($C$6-$B$6)),$D$6-SQRT((1-C197)*($D$6-$B$6)*($D$6-$C$6)))</f>
        <v>17.2366273768111</v>
      </c>
      <c r="E197" s="26" t="n">
        <f aca="true">MAX(0,$E$6+$F$6*_xlfn.NORM.S.INV(RAND()))</f>
        <v>7.43159893170251</v>
      </c>
      <c r="F197" s="27" t="n">
        <f aca="false">1/(1+EXP(-03_Inputs_Assumptions!$B$14*(E197-03_Inputs_Assumptions!$B$5)))</f>
        <v>0.0325432651158797</v>
      </c>
      <c r="G197" s="28" t="n">
        <f aca="false">D197*04_Baseline_PnL!$B$15*F197*04_Baseline_PnL!$B$14</f>
        <v>160399.4587883</v>
      </c>
      <c r="H197" s="28" t="n">
        <f aca="false">D197*03_Inputs_Assumptions!$B$13*01_Macro_Data!$B$97*($G$6-1)+D197*04_Baseline_PnL!$B$15*04_Baseline_PnL!$B$13*03_Inputs_Assumptions!$B$15*($H$6-1)</f>
        <v>2105791.87197406</v>
      </c>
      <c r="I197" s="16" t="n">
        <f aca="false">G197+H197</f>
        <v>2266191.33076236</v>
      </c>
    </row>
    <row r="198" customFormat="false" ht="15" hidden="false" customHeight="true" outlineLevel="0" collapsed="false">
      <c r="A198" s="4" t="s">
        <v>302</v>
      </c>
      <c r="B198" s="4" t="n">
        <v>188</v>
      </c>
      <c r="C198" s="24" t="n">
        <f aca="true">RAND()</f>
        <v>0.973256214145772</v>
      </c>
      <c r="D198" s="25" t="n">
        <f aca="false">IF(C198&lt;(($C$6-$B$6)/($D$6-$B$6)),$B$6+SQRT(C198*($D$6-$B$6)*($C$6-$B$6)),$D$6-SQRT((1-C198)*($D$6-$B$6)*($D$6-$C$6)))</f>
        <v>17.9314242250581</v>
      </c>
      <c r="E198" s="26" t="n">
        <f aca="true">MAX(0,$E$6+$F$6*_xlfn.NORM.S.INV(RAND()))</f>
        <v>14.0377924340443</v>
      </c>
      <c r="F198" s="27" t="n">
        <f aca="false">1/(1+EXP(-03_Inputs_Assumptions!$B$14*(E198-03_Inputs_Assumptions!$B$5)))</f>
        <v>0.149242847622924</v>
      </c>
      <c r="G198" s="28" t="n">
        <f aca="false">D198*04_Baseline_PnL!$B$15*F198*04_Baseline_PnL!$B$14</f>
        <v>765240.229945734</v>
      </c>
      <c r="H198" s="28" t="n">
        <f aca="false">D198*03_Inputs_Assumptions!$B$13*01_Macro_Data!$B$97*($G$6-1)+D198*04_Baseline_PnL!$B$15*04_Baseline_PnL!$B$13*03_Inputs_Assumptions!$B$15*($H$6-1)</f>
        <v>2190674.92500566</v>
      </c>
      <c r="I198" s="16" t="n">
        <f aca="false">G198+H198</f>
        <v>2955915.15495139</v>
      </c>
    </row>
    <row r="199" customFormat="false" ht="15" hidden="false" customHeight="true" outlineLevel="0" collapsed="false">
      <c r="A199" s="4" t="s">
        <v>302</v>
      </c>
      <c r="B199" s="4" t="n">
        <v>189</v>
      </c>
      <c r="C199" s="24" t="n">
        <f aca="true">RAND()</f>
        <v>0.647270203133747</v>
      </c>
      <c r="D199" s="25" t="n">
        <f aca="false">IF(C199&lt;(($C$6-$B$6)/($D$6-$B$6)),$B$6+SQRT(C199*($D$6-$B$6)*($C$6-$B$6)),$D$6-SQRT((1-C199)*($D$6-$B$6)*($D$6-$C$6)))</f>
        <v>12.4875591517403</v>
      </c>
      <c r="E199" s="26" t="n">
        <f aca="true">MAX(0,$E$6+$F$6*_xlfn.NORM.S.INV(RAND()))</f>
        <v>12.1970301616173</v>
      </c>
      <c r="F199" s="27" t="n">
        <f aca="false">1/(1+EXP(-03_Inputs_Assumptions!$B$14*(E199-03_Inputs_Assumptions!$B$5)))</f>
        <v>0.0996838358140587</v>
      </c>
      <c r="G199" s="28" t="n">
        <f aca="false">D199*04_Baseline_PnL!$B$15*F199*04_Baseline_PnL!$B$14</f>
        <v>355952.281465871</v>
      </c>
      <c r="H199" s="28" t="n">
        <f aca="false">D199*03_Inputs_Assumptions!$B$13*01_Macro_Data!$B$97*($G$6-1)+D199*04_Baseline_PnL!$B$15*04_Baseline_PnL!$B$13*03_Inputs_Assumptions!$B$15*($H$6-1)</f>
        <v>1525600.10654446</v>
      </c>
      <c r="I199" s="16" t="n">
        <f aca="false">G199+H199</f>
        <v>1881552.38801033</v>
      </c>
    </row>
    <row r="200" customFormat="false" ht="15" hidden="false" customHeight="true" outlineLevel="0" collapsed="false">
      <c r="A200" s="4" t="s">
        <v>302</v>
      </c>
      <c r="B200" s="4" t="n">
        <v>190</v>
      </c>
      <c r="C200" s="24" t="n">
        <f aca="true">RAND()</f>
        <v>0.502395963756178</v>
      </c>
      <c r="D200" s="25" t="n">
        <f aca="false">IF(C200&lt;(($C$6-$B$6)/($D$6-$B$6)),$B$6+SQRT(C200*($D$6-$B$6)*($C$6-$B$6)),$D$6-SQRT((1-C200)*($D$6-$B$6)*($D$6-$C$6)))</f>
        <v>11.0771839759518</v>
      </c>
      <c r="E200" s="26" t="n">
        <f aca="true">MAX(0,$E$6+$F$6*_xlfn.NORM.S.INV(RAND()))</f>
        <v>4.4574940110398</v>
      </c>
      <c r="F200" s="27" t="n">
        <f aca="false">1/(1+EXP(-03_Inputs_Assumptions!$B$14*(E200-03_Inputs_Assumptions!$B$5)))</f>
        <v>0.0157409039917045</v>
      </c>
      <c r="G200" s="28" t="n">
        <f aca="false">D200*04_Baseline_PnL!$B$15*F200*04_Baseline_PnL!$B$14</f>
        <v>49859.5690046818</v>
      </c>
      <c r="H200" s="28" t="n">
        <f aca="false">D200*03_Inputs_Assumptions!$B$13*01_Macro_Data!$B$97*($G$6-1)+D200*04_Baseline_PnL!$B$15*04_Baseline_PnL!$B$13*03_Inputs_Assumptions!$B$15*($H$6-1)</f>
        <v>1353295.13546844</v>
      </c>
      <c r="I200" s="16" t="n">
        <f aca="false">G200+H200</f>
        <v>1403154.70447312</v>
      </c>
    </row>
    <row r="201" customFormat="false" ht="15" hidden="false" customHeight="true" outlineLevel="0" collapsed="false">
      <c r="A201" s="4" t="s">
        <v>302</v>
      </c>
      <c r="B201" s="4" t="n">
        <v>191</v>
      </c>
      <c r="C201" s="24" t="n">
        <f aca="true">RAND()</f>
        <v>0.866003195564491</v>
      </c>
      <c r="D201" s="25" t="n">
        <f aca="false">IF(C201&lt;(($C$6-$B$6)/($D$6-$B$6)),$B$6+SQRT(C201*($D$6-$B$6)*($C$6-$B$6)),$D$6-SQRT((1-C201)*($D$6-$B$6)*($D$6-$C$6)))</f>
        <v>15.3697204501584</v>
      </c>
      <c r="E201" s="26" t="n">
        <f aca="true">MAX(0,$E$6+$F$6*_xlfn.NORM.S.INV(RAND()))</f>
        <v>6.87882525423227</v>
      </c>
      <c r="F201" s="27" t="n">
        <f aca="false">1/(1+EXP(-03_Inputs_Assumptions!$B$14*(E201-03_Inputs_Assumptions!$B$5)))</f>
        <v>0.0284624654440411</v>
      </c>
      <c r="G201" s="28" t="n">
        <f aca="false">D201*04_Baseline_PnL!$B$15*F201*04_Baseline_PnL!$B$14</f>
        <v>125091.547756218</v>
      </c>
      <c r="H201" s="28" t="n">
        <f aca="false">D201*03_Inputs_Assumptions!$B$13*01_Macro_Data!$B$97*($G$6-1)+D201*04_Baseline_PnL!$B$15*04_Baseline_PnL!$B$13*03_Inputs_Assumptions!$B$15*($H$6-1)</f>
        <v>1877712.59950767</v>
      </c>
      <c r="I201" s="16" t="n">
        <f aca="false">G201+H201</f>
        <v>2002804.14726389</v>
      </c>
    </row>
    <row r="202" customFormat="false" ht="15" hidden="false" customHeight="true" outlineLevel="0" collapsed="false">
      <c r="A202" s="4" t="s">
        <v>302</v>
      </c>
      <c r="B202" s="4" t="n">
        <v>192</v>
      </c>
      <c r="C202" s="24" t="n">
        <f aca="true">RAND()</f>
        <v>0.181018749960074</v>
      </c>
      <c r="D202" s="25" t="n">
        <f aca="false">IF(C202&lt;(($C$6-$B$6)/($D$6-$B$6)),$B$6+SQRT(C202*($D$6-$B$6)*($C$6-$B$6)),$D$6-SQRT((1-C202)*($D$6-$B$6)*($D$6-$C$6)))</f>
        <v>8.16866885182393</v>
      </c>
      <c r="E202" s="26" t="n">
        <f aca="true">MAX(0,$E$6+$F$6*_xlfn.NORM.S.INV(RAND()))</f>
        <v>9.14382507449306</v>
      </c>
      <c r="F202" s="27" t="n">
        <f aca="false">1/(1+EXP(-03_Inputs_Assumptions!$B$14*(E202-03_Inputs_Assumptions!$B$5)))</f>
        <v>0.0490769471343702</v>
      </c>
      <c r="G202" s="28" t="n">
        <f aca="false">D202*04_Baseline_PnL!$B$15*F202*04_Baseline_PnL!$B$14</f>
        <v>114635.283984915</v>
      </c>
      <c r="H202" s="28" t="n">
        <f aca="false">D202*03_Inputs_Assumptions!$B$13*01_Macro_Data!$B$97*($G$6-1)+D202*04_Baseline_PnL!$B$15*04_Baseline_PnL!$B$13*03_Inputs_Assumptions!$B$15*($H$6-1)</f>
        <v>997963.006159789</v>
      </c>
      <c r="I202" s="16" t="n">
        <f aca="false">G202+H202</f>
        <v>1112598.2901447</v>
      </c>
    </row>
    <row r="203" customFormat="false" ht="15" hidden="false" customHeight="true" outlineLevel="0" collapsed="false">
      <c r="A203" s="4" t="s">
        <v>302</v>
      </c>
      <c r="B203" s="4" t="n">
        <v>193</v>
      </c>
      <c r="C203" s="24" t="n">
        <f aca="true">RAND()</f>
        <v>0.930060245168465</v>
      </c>
      <c r="D203" s="25" t="n">
        <f aca="false">IF(C203&lt;(($C$6-$B$6)/($D$6-$B$6)),$B$6+SQRT(C203*($D$6-$B$6)*($C$6-$B$6)),$D$6-SQRT((1-C203)*($D$6-$B$6)*($D$6-$C$6)))</f>
        <v>16.6548003388369</v>
      </c>
      <c r="E203" s="26" t="n">
        <f aca="true">MAX(0,$E$6+$F$6*_xlfn.NORM.S.INV(RAND()))</f>
        <v>17.4342648796001</v>
      </c>
      <c r="F203" s="27" t="n">
        <f aca="false">1/(1+EXP(-03_Inputs_Assumptions!$B$14*(E203-03_Inputs_Assumptions!$B$5)))</f>
        <v>0.290814034194452</v>
      </c>
      <c r="G203" s="28" t="n">
        <f aca="false">D203*04_Baseline_PnL!$B$15*F203*04_Baseline_PnL!$B$14</f>
        <v>1384982.45860064</v>
      </c>
      <c r="H203" s="28" t="n">
        <f aca="false">D203*03_Inputs_Assumptions!$B$13*01_Macro_Data!$B$97*($G$6-1)+D203*04_Baseline_PnL!$B$15*04_Baseline_PnL!$B$13*03_Inputs_Assumptions!$B$15*($H$6-1)</f>
        <v>2034710.29547557</v>
      </c>
      <c r="I203" s="16" t="n">
        <f aca="false">G203+H203</f>
        <v>3419692.75407621</v>
      </c>
    </row>
    <row r="204" customFormat="false" ht="15" hidden="false" customHeight="true" outlineLevel="0" collapsed="false">
      <c r="A204" s="4" t="s">
        <v>302</v>
      </c>
      <c r="B204" s="4" t="n">
        <v>194</v>
      </c>
      <c r="C204" s="24" t="n">
        <f aca="true">RAND()</f>
        <v>0.558759415163191</v>
      </c>
      <c r="D204" s="25" t="n">
        <f aca="false">IF(C204&lt;(($C$6-$B$6)/($D$6-$B$6)),$B$6+SQRT(C204*($D$6-$B$6)*($C$6-$B$6)),$D$6-SQRT((1-C204)*($D$6-$B$6)*($D$6-$C$6)))</f>
        <v>11.5977090282537</v>
      </c>
      <c r="E204" s="26" t="n">
        <f aca="true">MAX(0,$E$6+$F$6*_xlfn.NORM.S.INV(RAND()))</f>
        <v>12.353422840628</v>
      </c>
      <c r="F204" s="27" t="n">
        <f aca="false">1/(1+EXP(-03_Inputs_Assumptions!$B$14*(E204-03_Inputs_Assumptions!$B$5)))</f>
        <v>0.103248110702661</v>
      </c>
      <c r="G204" s="28" t="n">
        <f aca="false">D204*04_Baseline_PnL!$B$15*F204*04_Baseline_PnL!$B$14</f>
        <v>342407.921444462</v>
      </c>
      <c r="H204" s="28" t="n">
        <f aca="false">D204*03_Inputs_Assumptions!$B$13*01_Macro_Data!$B$97*($G$6-1)+D204*04_Baseline_PnL!$B$15*04_Baseline_PnL!$B$13*03_Inputs_Assumptions!$B$15*($H$6-1)</f>
        <v>1416887.47289814</v>
      </c>
      <c r="I204" s="16" t="n">
        <f aca="false">G204+H204</f>
        <v>1759295.39434261</v>
      </c>
    </row>
    <row r="205" customFormat="false" ht="15" hidden="false" customHeight="true" outlineLevel="0" collapsed="false">
      <c r="A205" s="4" t="s">
        <v>302</v>
      </c>
      <c r="B205" s="4" t="n">
        <v>195</v>
      </c>
      <c r="C205" s="24" t="n">
        <f aca="true">RAND()</f>
        <v>0.905838576872798</v>
      </c>
      <c r="D205" s="25" t="n">
        <f aca="false">IF(C205&lt;(($C$6-$B$6)/($D$6-$B$6)),$B$6+SQRT(C205*($D$6-$B$6)*($C$6-$B$6)),$D$6-SQRT((1-C205)*($D$6-$B$6)*($D$6-$C$6)))</f>
        <v>16.1185276375643</v>
      </c>
      <c r="E205" s="26" t="n">
        <f aca="true">MAX(0,$E$6+$F$6*_xlfn.NORM.S.INV(RAND()))</f>
        <v>10.3902756605504</v>
      </c>
      <c r="F205" s="27" t="n">
        <f aca="false">1/(1+EXP(-03_Inputs_Assumptions!$B$14*(E205-03_Inputs_Assumptions!$B$5)))</f>
        <v>0.0658393288925706</v>
      </c>
      <c r="G205" s="28" t="n">
        <f aca="false">D205*04_Baseline_PnL!$B$15*F205*04_Baseline_PnL!$B$14</f>
        <v>303459.155509772</v>
      </c>
      <c r="H205" s="28" t="n">
        <f aca="false">D205*03_Inputs_Assumptions!$B$13*01_Macro_Data!$B$97*($G$6-1)+D205*04_Baseline_PnL!$B$15*04_Baseline_PnL!$B$13*03_Inputs_Assumptions!$B$15*($H$6-1)</f>
        <v>1969194.07407017</v>
      </c>
      <c r="I205" s="16" t="n">
        <f aca="false">G205+H205</f>
        <v>2272653.22957994</v>
      </c>
    </row>
    <row r="206" customFormat="false" ht="15" hidden="false" customHeight="true" outlineLevel="0" collapsed="false">
      <c r="A206" s="4" t="s">
        <v>302</v>
      </c>
      <c r="B206" s="4" t="n">
        <v>196</v>
      </c>
      <c r="C206" s="24" t="n">
        <f aca="true">RAND()</f>
        <v>0.862044092446557</v>
      </c>
      <c r="D206" s="25" t="n">
        <f aca="false">IF(C206&lt;(($C$6-$B$6)/($D$6-$B$6)),$B$6+SQRT(C206*($D$6-$B$6)*($C$6-$B$6)),$D$6-SQRT((1-C206)*($D$6-$B$6)*($D$6-$C$6)))</f>
        <v>15.3018146898456</v>
      </c>
      <c r="E206" s="26" t="n">
        <f aca="true">MAX(0,$E$6+$F$6*_xlfn.NORM.S.INV(RAND()))</f>
        <v>16.273411527686</v>
      </c>
      <c r="F206" s="27" t="n">
        <f aca="false">1/(1+EXP(-03_Inputs_Assumptions!$B$14*(E206-03_Inputs_Assumptions!$B$5)))</f>
        <v>0.234756169275462</v>
      </c>
      <c r="G206" s="28" t="n">
        <f aca="false">D206*04_Baseline_PnL!$B$15*F206*04_Baseline_PnL!$B$14</f>
        <v>1027186.808955</v>
      </c>
      <c r="H206" s="28" t="n">
        <f aca="false">D206*03_Inputs_Assumptions!$B$13*01_Macro_Data!$B$97*($G$6-1)+D206*04_Baseline_PnL!$B$15*04_Baseline_PnL!$B$13*03_Inputs_Assumptions!$B$15*($H$6-1)</f>
        <v>1869416.57993256</v>
      </c>
      <c r="I206" s="16" t="n">
        <f aca="false">G206+H206</f>
        <v>2896603.38888756</v>
      </c>
    </row>
    <row r="207" customFormat="false" ht="15" hidden="false" customHeight="true" outlineLevel="0" collapsed="false">
      <c r="A207" s="4" t="s">
        <v>302</v>
      </c>
      <c r="B207" s="4" t="n">
        <v>197</v>
      </c>
      <c r="C207" s="24" t="n">
        <f aca="true">RAND()</f>
        <v>0.82926251885653</v>
      </c>
      <c r="D207" s="25" t="n">
        <f aca="false">IF(C207&lt;(($C$6-$B$6)/($D$6-$B$6)),$B$6+SQRT(C207*($D$6-$B$6)*($C$6-$B$6)),$D$6-SQRT((1-C207)*($D$6-$B$6)*($D$6-$C$6)))</f>
        <v>14.7733378736563</v>
      </c>
      <c r="E207" s="26" t="n">
        <f aca="true">MAX(0,$E$6+$F$6*_xlfn.NORM.S.INV(RAND()))</f>
        <v>13.9141176599107</v>
      </c>
      <c r="F207" s="27" t="n">
        <f aca="false">1/(1+EXP(-03_Inputs_Assumptions!$B$14*(E207-03_Inputs_Assumptions!$B$5)))</f>
        <v>0.145359542649522</v>
      </c>
      <c r="G207" s="28" t="n">
        <f aca="false">D207*04_Baseline_PnL!$B$15*F207*04_Baseline_PnL!$B$14</f>
        <v>614061.203704004</v>
      </c>
      <c r="H207" s="28" t="n">
        <f aca="false">D207*03_Inputs_Assumptions!$B$13*01_Macro_Data!$B$97*($G$6-1)+D207*04_Baseline_PnL!$B$15*04_Baseline_PnL!$B$13*03_Inputs_Assumptions!$B$15*($H$6-1)</f>
        <v>1804852.77868945</v>
      </c>
      <c r="I207" s="16" t="n">
        <f aca="false">G207+H207</f>
        <v>2418913.98239345</v>
      </c>
    </row>
    <row r="208" customFormat="false" ht="15" hidden="false" customHeight="true" outlineLevel="0" collapsed="false">
      <c r="A208" s="4" t="s">
        <v>302</v>
      </c>
      <c r="B208" s="4" t="n">
        <v>198</v>
      </c>
      <c r="C208" s="24" t="n">
        <f aca="true">RAND()</f>
        <v>0.482891219865652</v>
      </c>
      <c r="D208" s="25" t="n">
        <f aca="false">IF(C208&lt;(($C$6-$B$6)/($D$6-$B$6)),$B$6+SQRT(C208*($D$6-$B$6)*($C$6-$B$6)),$D$6-SQRT((1-C208)*($D$6-$B$6)*($D$6-$C$6)))</f>
        <v>10.9039896206361</v>
      </c>
      <c r="E208" s="26" t="n">
        <f aca="true">MAX(0,$E$6+$F$6*_xlfn.NORM.S.INV(RAND()))</f>
        <v>7.8124564718274</v>
      </c>
      <c r="F208" s="27" t="n">
        <f aca="false">1/(1+EXP(-03_Inputs_Assumptions!$B$14*(E208-03_Inputs_Assumptions!$B$5)))</f>
        <v>0.0356781764764868</v>
      </c>
      <c r="G208" s="28" t="n">
        <f aca="false">D208*04_Baseline_PnL!$B$15*F208*04_Baseline_PnL!$B$14</f>
        <v>111244.246829211</v>
      </c>
      <c r="H208" s="28" t="n">
        <f aca="false">D208*03_Inputs_Assumptions!$B$13*01_Macro_Data!$B$97*($G$6-1)+D208*04_Baseline_PnL!$B$15*04_Baseline_PnL!$B$13*03_Inputs_Assumptions!$B$15*($H$6-1)</f>
        <v>1332136.05035727</v>
      </c>
      <c r="I208" s="16" t="n">
        <f aca="false">G208+H208</f>
        <v>1443380.29718648</v>
      </c>
    </row>
    <row r="209" customFormat="false" ht="15" hidden="false" customHeight="true" outlineLevel="0" collapsed="false">
      <c r="A209" s="4" t="s">
        <v>302</v>
      </c>
      <c r="B209" s="4" t="n">
        <v>199</v>
      </c>
      <c r="C209" s="24" t="n">
        <f aca="true">RAND()</f>
        <v>0.458836488877789</v>
      </c>
      <c r="D209" s="25" t="n">
        <f aca="false">IF(C209&lt;(($C$6-$B$6)/($D$6-$B$6)),$B$6+SQRT(C209*($D$6-$B$6)*($C$6-$B$6)),$D$6-SQRT((1-C209)*($D$6-$B$6)*($D$6-$C$6)))</f>
        <v>10.6948314480847</v>
      </c>
      <c r="E209" s="26" t="n">
        <f aca="true">MAX(0,$E$6+$F$6*_xlfn.NORM.S.INV(RAND()))</f>
        <v>14.4405924838582</v>
      </c>
      <c r="F209" s="27" t="n">
        <f aca="false">1/(1+EXP(-03_Inputs_Assumptions!$B$14*(E209-03_Inputs_Assumptions!$B$5)))</f>
        <v>0.162485218432609</v>
      </c>
      <c r="G209" s="28" t="n">
        <f aca="false">D209*04_Baseline_PnL!$B$15*F209*04_Baseline_PnL!$B$14</f>
        <v>496909.482276801</v>
      </c>
      <c r="H209" s="28" t="n">
        <f aca="false">D209*03_Inputs_Assumptions!$B$13*01_Macro_Data!$B$97*($G$6-1)+D209*04_Baseline_PnL!$B$15*04_Baseline_PnL!$B$13*03_Inputs_Assumptions!$B$15*($H$6-1)</f>
        <v>1306583.28007993</v>
      </c>
      <c r="I209" s="16" t="n">
        <f aca="false">G209+H209</f>
        <v>1803492.76235673</v>
      </c>
    </row>
    <row r="210" customFormat="false" ht="15" hidden="false" customHeight="true" outlineLevel="0" collapsed="false">
      <c r="A210" s="4" t="s">
        <v>302</v>
      </c>
      <c r="B210" s="4" t="n">
        <v>200</v>
      </c>
      <c r="C210" s="24" t="n">
        <f aca="true">RAND()</f>
        <v>0.0439925633684452</v>
      </c>
      <c r="D210" s="25" t="n">
        <f aca="false">IF(C210&lt;(($C$6-$B$6)/($D$6-$B$6)),$B$6+SQRT(C210*($D$6-$B$6)*($C$6-$B$6)),$D$6-SQRT((1-C210)*($D$6-$B$6)*($D$6-$C$6)))</f>
        <v>6.05506352295269</v>
      </c>
      <c r="E210" s="26" t="n">
        <f aca="true">MAX(0,$E$6+$F$6*_xlfn.NORM.S.INV(RAND()))</f>
        <v>13.2374769161206</v>
      </c>
      <c r="F210" s="27" t="n">
        <f aca="false">1/(1+EXP(-03_Inputs_Assumptions!$B$14*(E210-03_Inputs_Assumptions!$B$5)))</f>
        <v>0.12557857607997</v>
      </c>
      <c r="G210" s="28" t="n">
        <f aca="false">D210*04_Baseline_PnL!$B$15*F210*04_Baseline_PnL!$B$14</f>
        <v>217432.139476109</v>
      </c>
      <c r="H210" s="28" t="n">
        <f aca="false">D210*03_Inputs_Assumptions!$B$13*01_Macro_Data!$B$97*($G$6-1)+D210*04_Baseline_PnL!$B$15*04_Baseline_PnL!$B$13*03_Inputs_Assumptions!$B$15*($H$6-1)</f>
        <v>739744.688573721</v>
      </c>
      <c r="I210" s="16" t="n">
        <f aca="false">G210+H210</f>
        <v>957176.828049831</v>
      </c>
    </row>
    <row r="211" customFormat="false" ht="15" hidden="false" customHeight="true" outlineLevel="0" collapsed="false">
      <c r="A211" s="4" t="s">
        <v>302</v>
      </c>
      <c r="B211" s="4" t="n">
        <v>201</v>
      </c>
      <c r="C211" s="24" t="n">
        <f aca="true">RAND()</f>
        <v>0.853401269325303</v>
      </c>
      <c r="D211" s="25" t="n">
        <f aca="false">IF(C211&lt;(($C$6-$B$6)/($D$6-$B$6)),$B$6+SQRT(C211*($D$6-$B$6)*($C$6-$B$6)),$D$6-SQRT((1-C211)*($D$6-$B$6)*($D$6-$C$6)))</f>
        <v>15.1568814893757</v>
      </c>
      <c r="E211" s="26" t="n">
        <f aca="true">MAX(0,$E$6+$F$6*_xlfn.NORM.S.INV(RAND()))</f>
        <v>9.84182971880164</v>
      </c>
      <c r="F211" s="27" t="n">
        <f aca="false">1/(1+EXP(-03_Inputs_Assumptions!$B$14*(E211-03_Inputs_Assumptions!$B$5)))</f>
        <v>0.057891898642597</v>
      </c>
      <c r="G211" s="28" t="n">
        <f aca="false">D211*04_Baseline_PnL!$B$15*F211*04_Baseline_PnL!$B$14</f>
        <v>250909.513999931</v>
      </c>
      <c r="H211" s="28" t="n">
        <f aca="false">D211*03_Inputs_Assumptions!$B$13*01_Macro_Data!$B$97*($G$6-1)+D211*04_Baseline_PnL!$B$15*04_Baseline_PnL!$B$13*03_Inputs_Assumptions!$B$15*($H$6-1)</f>
        <v>1851710.14880444</v>
      </c>
      <c r="I211" s="16" t="n">
        <f aca="false">G211+H211</f>
        <v>2102619.66280437</v>
      </c>
    </row>
    <row r="212" customFormat="false" ht="15" hidden="false" customHeight="true" outlineLevel="0" collapsed="false">
      <c r="A212" s="4" t="s">
        <v>302</v>
      </c>
      <c r="B212" s="4" t="n">
        <v>202</v>
      </c>
      <c r="C212" s="24" t="n">
        <f aca="true">RAND()</f>
        <v>0.124542976216364</v>
      </c>
      <c r="D212" s="25" t="n">
        <f aca="false">IF(C212&lt;(($C$6-$B$6)/($D$6-$B$6)),$B$6+SQRT(C212*($D$6-$B$6)*($C$6-$B$6)),$D$6-SQRT((1-C212)*($D$6-$B$6)*($D$6-$C$6)))</f>
        <v>7.45776310882787</v>
      </c>
      <c r="E212" s="26" t="n">
        <f aca="true">MAX(0,$E$6+$F$6*_xlfn.NORM.S.INV(RAND()))</f>
        <v>6.42768245458244</v>
      </c>
      <c r="F212" s="27" t="n">
        <f aca="false">1/(1+EXP(-03_Inputs_Assumptions!$B$14*(E212-03_Inputs_Assumptions!$B$5)))</f>
        <v>0.0255041422945906</v>
      </c>
      <c r="G212" s="28" t="n">
        <f aca="false">D212*04_Baseline_PnL!$B$15*F212*04_Baseline_PnL!$B$14</f>
        <v>54388.7137446017</v>
      </c>
      <c r="H212" s="28" t="n">
        <f aca="false">D212*03_Inputs_Assumptions!$B$13*01_Macro_Data!$B$97*($G$6-1)+D212*04_Baseline_PnL!$B$15*04_Baseline_PnL!$B$13*03_Inputs_Assumptions!$B$15*($H$6-1)</f>
        <v>911111.935900257</v>
      </c>
      <c r="I212" s="16" t="n">
        <f aca="false">G212+H212</f>
        <v>965500.649644859</v>
      </c>
    </row>
    <row r="213" customFormat="false" ht="15" hidden="false" customHeight="true" outlineLevel="0" collapsed="false">
      <c r="A213" s="4" t="s">
        <v>302</v>
      </c>
      <c r="B213" s="4" t="n">
        <v>203</v>
      </c>
      <c r="C213" s="24" t="n">
        <f aca="true">RAND()</f>
        <v>0.0607910876825537</v>
      </c>
      <c r="D213" s="25" t="n">
        <f aca="false">IF(C213&lt;(($C$6-$B$6)/($D$6-$B$6)),$B$6+SQRT(C213*($D$6-$B$6)*($C$6-$B$6)),$D$6-SQRT((1-C213)*($D$6-$B$6)*($D$6-$C$6)))</f>
        <v>6.41576994300475</v>
      </c>
      <c r="E213" s="26" t="n">
        <f aca="true">MAX(0,$E$6+$F$6*_xlfn.NORM.S.INV(RAND()))</f>
        <v>7.60629562222855</v>
      </c>
      <c r="F213" s="27" t="n">
        <f aca="false">1/(1+EXP(-03_Inputs_Assumptions!$B$14*(E213-03_Inputs_Assumptions!$B$5)))</f>
        <v>0.0339467415411804</v>
      </c>
      <c r="G213" s="28" t="n">
        <f aca="false">D213*04_Baseline_PnL!$B$15*F213*04_Baseline_PnL!$B$14</f>
        <v>62278.2438560934</v>
      </c>
      <c r="H213" s="28" t="n">
        <f aca="false">D213*03_Inputs_Assumptions!$B$13*01_Macro_Data!$B$97*($G$6-1)+D213*04_Baseline_PnL!$B$15*04_Baseline_PnL!$B$13*03_Inputs_Assumptions!$B$15*($H$6-1)</f>
        <v>783812.047628913</v>
      </c>
      <c r="I213" s="16" t="n">
        <f aca="false">G213+H213</f>
        <v>846090.291485006</v>
      </c>
    </row>
    <row r="214" customFormat="false" ht="15" hidden="false" customHeight="true" outlineLevel="0" collapsed="false">
      <c r="A214" s="4" t="s">
        <v>302</v>
      </c>
      <c r="B214" s="4" t="n">
        <v>204</v>
      </c>
      <c r="C214" s="24" t="n">
        <f aca="true">RAND()</f>
        <v>0.783954226555004</v>
      </c>
      <c r="D214" s="25" t="n">
        <f aca="false">IF(C214&lt;(($C$6-$B$6)/($D$6-$B$6)),$B$6+SQRT(C214*($D$6-$B$6)*($C$6-$B$6)),$D$6-SQRT((1-C214)*($D$6-$B$6)*($D$6-$C$6)))</f>
        <v>14.1206017526281</v>
      </c>
      <c r="E214" s="26" t="n">
        <f aca="true">MAX(0,$E$6+$F$6*_xlfn.NORM.S.INV(RAND()))</f>
        <v>14.6502375750338</v>
      </c>
      <c r="F214" s="27" t="n">
        <f aca="false">1/(1+EXP(-03_Inputs_Assumptions!$B$14*(E214-03_Inputs_Assumptions!$B$5)))</f>
        <v>0.169744290460515</v>
      </c>
      <c r="G214" s="28" t="n">
        <f aca="false">D214*04_Baseline_PnL!$B$15*F214*04_Baseline_PnL!$B$14</f>
        <v>685390.153795439</v>
      </c>
      <c r="H214" s="28" t="n">
        <f aca="false">D214*03_Inputs_Assumptions!$B$13*01_Macro_Data!$B$97*($G$6-1)+D214*04_Baseline_PnL!$B$15*04_Baseline_PnL!$B$13*03_Inputs_Assumptions!$B$15*($H$6-1)</f>
        <v>1725108.26787788</v>
      </c>
      <c r="I214" s="16" t="n">
        <f aca="false">G214+H214</f>
        <v>2410498.42167332</v>
      </c>
    </row>
    <row r="215" customFormat="false" ht="15" hidden="false" customHeight="true" outlineLevel="0" collapsed="false">
      <c r="A215" s="4" t="s">
        <v>302</v>
      </c>
      <c r="B215" s="4" t="n">
        <v>205</v>
      </c>
      <c r="C215" s="24" t="n">
        <f aca="true">RAND()</f>
        <v>0.0287464169436807</v>
      </c>
      <c r="D215" s="25" t="n">
        <f aca="false">IF(C215&lt;(($C$6-$B$6)/($D$6-$B$6)),$B$6+SQRT(C215*($D$6-$B$6)*($C$6-$B$6)),$D$6-SQRT((1-C215)*($D$6-$B$6)*($D$6-$C$6)))</f>
        <v>5.66122124552793</v>
      </c>
      <c r="E215" s="26" t="n">
        <f aca="true">MAX(0,$E$6+$F$6*_xlfn.NORM.S.INV(RAND()))</f>
        <v>8.35346880969367</v>
      </c>
      <c r="F215" s="27" t="n">
        <f aca="false">1/(1+EXP(-03_Inputs_Assumptions!$B$14*(E215-03_Inputs_Assumptions!$B$5)))</f>
        <v>0.0406353526288812</v>
      </c>
      <c r="G215" s="28" t="n">
        <f aca="false">D215*04_Baseline_PnL!$B$15*F215*04_Baseline_PnL!$B$14</f>
        <v>65781.4802436208</v>
      </c>
      <c r="H215" s="28" t="n">
        <f aca="false">D215*03_Inputs_Assumptions!$B$13*01_Macro_Data!$B$97*($G$6-1)+D215*04_Baseline_PnL!$B$15*04_Baseline_PnL!$B$13*03_Inputs_Assumptions!$B$15*($H$6-1)</f>
        <v>691629.135077649</v>
      </c>
      <c r="I215" s="16" t="n">
        <f aca="false">G215+H215</f>
        <v>757410.615321269</v>
      </c>
    </row>
    <row r="216" customFormat="false" ht="15" hidden="false" customHeight="true" outlineLevel="0" collapsed="false">
      <c r="A216" s="4" t="s">
        <v>302</v>
      </c>
      <c r="B216" s="4" t="n">
        <v>206</v>
      </c>
      <c r="C216" s="24" t="n">
        <f aca="true">RAND()</f>
        <v>0.503169396001608</v>
      </c>
      <c r="D216" s="25" t="n">
        <f aca="false">IF(C216&lt;(($C$6-$B$6)/($D$6-$B$6)),$B$6+SQRT(C216*($D$6-$B$6)*($C$6-$B$6)),$D$6-SQRT((1-C216)*($D$6-$B$6)*($D$6-$C$6)))</f>
        <v>11.0841210954981</v>
      </c>
      <c r="E216" s="26" t="n">
        <f aca="true">MAX(0,$E$6+$F$6*_xlfn.NORM.S.INV(RAND()))</f>
        <v>14.8537328847893</v>
      </c>
      <c r="F216" s="27" t="n">
        <f aca="false">1/(1+EXP(-03_Inputs_Assumptions!$B$14*(E216-03_Inputs_Assumptions!$B$5)))</f>
        <v>0.177034918483313</v>
      </c>
      <c r="G216" s="28" t="n">
        <f aca="false">D216*04_Baseline_PnL!$B$15*F216*04_Baseline_PnL!$B$14</f>
        <v>561112.157340996</v>
      </c>
      <c r="H216" s="28" t="n">
        <f aca="false">D216*03_Inputs_Assumptions!$B$13*01_Macro_Data!$B$97*($G$6-1)+D216*04_Baseline_PnL!$B$15*04_Baseline_PnL!$B$13*03_Inputs_Assumptions!$B$15*($H$6-1)</f>
        <v>1354142.64058856</v>
      </c>
      <c r="I216" s="16" t="n">
        <f aca="false">G216+H216</f>
        <v>1915254.79792956</v>
      </c>
    </row>
    <row r="217" customFormat="false" ht="15" hidden="false" customHeight="true" outlineLevel="0" collapsed="false">
      <c r="A217" s="4" t="s">
        <v>302</v>
      </c>
      <c r="B217" s="4" t="n">
        <v>207</v>
      </c>
      <c r="C217" s="24" t="n">
        <f aca="true">RAND()</f>
        <v>0.634665825305862</v>
      </c>
      <c r="D217" s="25" t="n">
        <f aca="false">IF(C217&lt;(($C$6-$B$6)/($D$6-$B$6)),$B$6+SQRT(C217*($D$6-$B$6)*($C$6-$B$6)),$D$6-SQRT((1-C217)*($D$6-$B$6)*($D$6-$C$6)))</f>
        <v>12.3545132299466</v>
      </c>
      <c r="E217" s="26" t="n">
        <f aca="true">MAX(0,$E$6+$F$6*_xlfn.NORM.S.INV(RAND()))</f>
        <v>4.74752803139776</v>
      </c>
      <c r="F217" s="27" t="n">
        <f aca="false">1/(1+EXP(-03_Inputs_Assumptions!$B$14*(E217-03_Inputs_Assumptions!$B$5)))</f>
        <v>0.0169046398668626</v>
      </c>
      <c r="G217" s="28" t="n">
        <f aca="false">D217*04_Baseline_PnL!$B$15*F217*04_Baseline_PnL!$B$14</f>
        <v>59720.1710723786</v>
      </c>
      <c r="H217" s="28" t="n">
        <f aca="false">D217*03_Inputs_Assumptions!$B$13*01_Macro_Data!$B$97*($G$6-1)+D217*04_Baseline_PnL!$B$15*04_Baseline_PnL!$B$13*03_Inputs_Assumptions!$B$15*($H$6-1)</f>
        <v>1509345.93949728</v>
      </c>
      <c r="I217" s="16" t="n">
        <f aca="false">G217+H217</f>
        <v>1569066.11056966</v>
      </c>
    </row>
    <row r="218" customFormat="false" ht="15" hidden="false" customHeight="true" outlineLevel="0" collapsed="false">
      <c r="A218" s="4" t="s">
        <v>302</v>
      </c>
      <c r="B218" s="4" t="n">
        <v>208</v>
      </c>
      <c r="C218" s="24" t="n">
        <f aca="true">RAND()</f>
        <v>0.440499190611715</v>
      </c>
      <c r="D218" s="25" t="n">
        <f aca="false">IF(C218&lt;(($C$6-$B$6)/($D$6-$B$6)),$B$6+SQRT(C218*($D$6-$B$6)*($C$6-$B$6)),$D$6-SQRT((1-C218)*($D$6-$B$6)*($D$6-$C$6)))</f>
        <v>10.5384922183552</v>
      </c>
      <c r="E218" s="26" t="n">
        <f aca="true">MAX(0,$E$6+$F$6*_xlfn.NORM.S.INV(RAND()))</f>
        <v>14.5270865308326</v>
      </c>
      <c r="F218" s="27" t="n">
        <f aca="false">1/(1+EXP(-03_Inputs_Assumptions!$B$14*(E218-03_Inputs_Assumptions!$B$5)))</f>
        <v>0.16544934493463</v>
      </c>
      <c r="G218" s="28" t="n">
        <f aca="false">D218*04_Baseline_PnL!$B$15*F218*04_Baseline_PnL!$B$14</f>
        <v>498577.886678388</v>
      </c>
      <c r="H218" s="28" t="n">
        <f aca="false">D218*03_Inputs_Assumptions!$B$13*01_Macro_Data!$B$97*($G$6-1)+D218*04_Baseline_PnL!$B$15*04_Baseline_PnL!$B$13*03_Inputs_Assumptions!$B$15*($H$6-1)</f>
        <v>1287483.37891956</v>
      </c>
      <c r="I218" s="16" t="n">
        <f aca="false">G218+H218</f>
        <v>1786061.26559795</v>
      </c>
    </row>
    <row r="219" customFormat="false" ht="15" hidden="false" customHeight="true" outlineLevel="0" collapsed="false">
      <c r="A219" s="4" t="s">
        <v>302</v>
      </c>
      <c r="B219" s="4" t="n">
        <v>209</v>
      </c>
      <c r="C219" s="24" t="n">
        <f aca="true">RAND()</f>
        <v>0.804429970646043</v>
      </c>
      <c r="D219" s="25" t="n">
        <f aca="false">IF(C219&lt;(($C$6-$B$6)/($D$6-$B$6)),$B$6+SQRT(C219*($D$6-$B$6)*($C$6-$B$6)),$D$6-SQRT((1-C219)*($D$6-$B$6)*($D$6-$C$6)))</f>
        <v>14.4061458102098</v>
      </c>
      <c r="E219" s="26" t="n">
        <f aca="true">MAX(0,$E$6+$F$6*_xlfn.NORM.S.INV(RAND()))</f>
        <v>6.75492382056713</v>
      </c>
      <c r="F219" s="27" t="n">
        <f aca="false">1/(1+EXP(-03_Inputs_Assumptions!$B$14*(E219-03_Inputs_Assumptions!$B$5)))</f>
        <v>0.0276183209877553</v>
      </c>
      <c r="G219" s="28" t="n">
        <f aca="false">D219*04_Baseline_PnL!$B$15*F219*04_Baseline_PnL!$B$14</f>
        <v>113771.781923555</v>
      </c>
      <c r="H219" s="28" t="n">
        <f aca="false">D219*03_Inputs_Assumptions!$B$13*01_Macro_Data!$B$97*($G$6-1)+D219*04_Baseline_PnL!$B$15*04_Baseline_PnL!$B$13*03_Inputs_Assumptions!$B$15*($H$6-1)</f>
        <v>1759993.07117501</v>
      </c>
      <c r="I219" s="16" t="n">
        <f aca="false">G219+H219</f>
        <v>1873764.85309856</v>
      </c>
    </row>
    <row r="220" customFormat="false" ht="15" hidden="false" customHeight="true" outlineLevel="0" collapsed="false">
      <c r="A220" s="4" t="s">
        <v>302</v>
      </c>
      <c r="B220" s="4" t="n">
        <v>210</v>
      </c>
      <c r="C220" s="24" t="n">
        <f aca="true">RAND()</f>
        <v>0.217989640210215</v>
      </c>
      <c r="D220" s="25" t="n">
        <f aca="false">IF(C220&lt;(($C$6-$B$6)/($D$6-$B$6)),$B$6+SQRT(C220*($D$6-$B$6)*($C$6-$B$6)),$D$6-SQRT((1-C220)*($D$6-$B$6)*($D$6-$C$6)))</f>
        <v>8.57460440477432</v>
      </c>
      <c r="E220" s="26" t="n">
        <f aca="true">MAX(0,$E$6+$F$6*_xlfn.NORM.S.INV(RAND()))</f>
        <v>6.08443217094245</v>
      </c>
      <c r="F220" s="27" t="n">
        <f aca="false">1/(1+EXP(-03_Inputs_Assumptions!$B$14*(E220-03_Inputs_Assumptions!$B$5)))</f>
        <v>0.0234560349363598</v>
      </c>
      <c r="G220" s="28" t="n">
        <f aca="false">D220*04_Baseline_PnL!$B$15*F220*04_Baseline_PnL!$B$14</f>
        <v>57511.9606917271</v>
      </c>
      <c r="H220" s="28" t="n">
        <f aca="false">D220*03_Inputs_Assumptions!$B$13*01_Macro_Data!$B$97*($G$6-1)+D220*04_Baseline_PnL!$B$15*04_Baseline_PnL!$B$13*03_Inputs_Assumptions!$B$15*($H$6-1)</f>
        <v>1047555.99028952</v>
      </c>
      <c r="I220" s="16" t="n">
        <f aca="false">G220+H220</f>
        <v>1105067.95098124</v>
      </c>
    </row>
    <row r="221" customFormat="false" ht="15" hidden="false" customHeight="true" outlineLevel="0" collapsed="false">
      <c r="A221" s="4" t="s">
        <v>302</v>
      </c>
      <c r="B221" s="4" t="n">
        <v>211</v>
      </c>
      <c r="C221" s="24" t="n">
        <f aca="true">RAND()</f>
        <v>0.274885013150585</v>
      </c>
      <c r="D221" s="25" t="n">
        <f aca="false">IF(C221&lt;(($C$6-$B$6)/($D$6-$B$6)),$B$6+SQRT(C221*($D$6-$B$6)*($C$6-$B$6)),$D$6-SQRT((1-C221)*($D$6-$B$6)*($D$6-$C$6)))</f>
        <v>9.13701871346175</v>
      </c>
      <c r="E221" s="26" t="n">
        <f aca="true">MAX(0,$E$6+$F$6*_xlfn.NORM.S.INV(RAND()))</f>
        <v>6.50996438903857</v>
      </c>
      <c r="F221" s="27" t="n">
        <f aca="false">1/(1+EXP(-03_Inputs_Assumptions!$B$14*(E221-03_Inputs_Assumptions!$B$5)))</f>
        <v>0.0260204154687663</v>
      </c>
      <c r="G221" s="28" t="n">
        <f aca="false">D221*04_Baseline_PnL!$B$15*F221*04_Baseline_PnL!$B$14</f>
        <v>67984.2361498851</v>
      </c>
      <c r="H221" s="28" t="n">
        <f aca="false">D221*03_Inputs_Assumptions!$B$13*01_Macro_Data!$B$97*($G$6-1)+D221*04_Baseline_PnL!$B$15*04_Baseline_PnL!$B$13*03_Inputs_Assumptions!$B$15*($H$6-1)</f>
        <v>1116265.92141614</v>
      </c>
      <c r="I221" s="16" t="n">
        <f aca="false">G221+H221</f>
        <v>1184250.15756602</v>
      </c>
    </row>
    <row r="222" customFormat="false" ht="15" hidden="false" customHeight="true" outlineLevel="0" collapsed="false">
      <c r="A222" s="4" t="s">
        <v>302</v>
      </c>
      <c r="B222" s="4" t="n">
        <v>212</v>
      </c>
      <c r="C222" s="24" t="n">
        <f aca="true">RAND()</f>
        <v>0.351895052867254</v>
      </c>
      <c r="D222" s="25" t="n">
        <f aca="false">IF(C222&lt;(($C$6-$B$6)/($D$6-$B$6)),$B$6+SQRT(C222*($D$6-$B$6)*($C$6-$B$6)),$D$6-SQRT((1-C222)*($D$6-$B$6)*($D$6-$C$6)))</f>
        <v>9.81222204283838</v>
      </c>
      <c r="E222" s="26" t="n">
        <f aca="true">MAX(0,$E$6+$F$6*_xlfn.NORM.S.INV(RAND()))</f>
        <v>6.44710128460536</v>
      </c>
      <c r="F222" s="27" t="n">
        <f aca="false">1/(1+EXP(-03_Inputs_Assumptions!$B$14*(E222-03_Inputs_Assumptions!$B$5)))</f>
        <v>0.0256250779889061</v>
      </c>
      <c r="G222" s="28" t="n">
        <f aca="false">D222*04_Baseline_PnL!$B$15*F222*04_Baseline_PnL!$B$14</f>
        <v>71898.8666263555</v>
      </c>
      <c r="H222" s="28" t="n">
        <f aca="false">D222*03_Inputs_Assumptions!$B$13*01_Macro_Data!$B$97*($G$6-1)+D222*04_Baseline_PnL!$B$15*04_Baseline_PnL!$B$13*03_Inputs_Assumptions!$B$15*($H$6-1)</f>
        <v>1198755.24208475</v>
      </c>
      <c r="I222" s="16" t="n">
        <f aca="false">G222+H222</f>
        <v>1270654.1087111</v>
      </c>
    </row>
    <row r="223" customFormat="false" ht="15" hidden="false" customHeight="true" outlineLevel="0" collapsed="false">
      <c r="A223" s="4" t="s">
        <v>302</v>
      </c>
      <c r="B223" s="4" t="n">
        <v>213</v>
      </c>
      <c r="C223" s="24" t="n">
        <f aca="true">RAND()</f>
        <v>0.686158619694621</v>
      </c>
      <c r="D223" s="25" t="n">
        <f aca="false">IF(C223&lt;(($C$6-$B$6)/($D$6-$B$6)),$B$6+SQRT(C223*($D$6-$B$6)*($C$6-$B$6)),$D$6-SQRT((1-C223)*($D$6-$B$6)*($D$6-$C$6)))</f>
        <v>12.9137724529295</v>
      </c>
      <c r="E223" s="26" t="n">
        <f aca="true">MAX(0,$E$6+$F$6*_xlfn.NORM.S.INV(RAND()))</f>
        <v>14.1291176173251</v>
      </c>
      <c r="F223" s="27" t="n">
        <f aca="false">1/(1+EXP(-03_Inputs_Assumptions!$B$14*(E223-03_Inputs_Assumptions!$B$5)))</f>
        <v>0.152164998363472</v>
      </c>
      <c r="G223" s="28" t="n">
        <f aca="false">D223*04_Baseline_PnL!$B$15*F223*04_Baseline_PnL!$B$14</f>
        <v>561897.858051275</v>
      </c>
      <c r="H223" s="28" t="n">
        <f aca="false">D223*03_Inputs_Assumptions!$B$13*01_Macro_Data!$B$97*($G$6-1)+D223*04_Baseline_PnL!$B$15*04_Baseline_PnL!$B$13*03_Inputs_Assumptions!$B$15*($H$6-1)</f>
        <v>1577670.41506542</v>
      </c>
      <c r="I223" s="16" t="n">
        <f aca="false">G223+H223</f>
        <v>2139568.27311669</v>
      </c>
    </row>
    <row r="224" customFormat="false" ht="15" hidden="false" customHeight="true" outlineLevel="0" collapsed="false">
      <c r="A224" s="4" t="s">
        <v>302</v>
      </c>
      <c r="B224" s="4" t="n">
        <v>214</v>
      </c>
      <c r="C224" s="24" t="n">
        <f aca="true">RAND()</f>
        <v>0.626603326950225</v>
      </c>
      <c r="D224" s="25" t="n">
        <f aca="false">IF(C224&lt;(($C$6-$B$6)/($D$6-$B$6)),$B$6+SQRT(C224*($D$6-$B$6)*($C$6-$B$6)),$D$6-SQRT((1-C224)*($D$6-$B$6)*($D$6-$C$6)))</f>
        <v>12.2706101348189</v>
      </c>
      <c r="E224" s="26" t="n">
        <f aca="true">MAX(0,$E$6+$F$6*_xlfn.NORM.S.INV(RAND()))</f>
        <v>16.9621750470413</v>
      </c>
      <c r="F224" s="27" t="n">
        <f aca="false">1/(1+EXP(-03_Inputs_Assumptions!$B$14*(E224-03_Inputs_Assumptions!$B$5)))</f>
        <v>0.267086279295785</v>
      </c>
      <c r="G224" s="28" t="n">
        <f aca="false">D224*04_Baseline_PnL!$B$15*F224*04_Baseline_PnL!$B$14</f>
        <v>937145.916540621</v>
      </c>
      <c r="H224" s="28" t="n">
        <f aca="false">D224*03_Inputs_Assumptions!$B$13*01_Macro_Data!$B$97*($G$6-1)+D224*04_Baseline_PnL!$B$15*04_Baseline_PnL!$B$13*03_Inputs_Assumptions!$B$15*($H$6-1)</f>
        <v>1499095.53192677</v>
      </c>
      <c r="I224" s="16" t="n">
        <f aca="false">G224+H224</f>
        <v>2436241.4484674</v>
      </c>
    </row>
    <row r="225" customFormat="false" ht="15" hidden="false" customHeight="true" outlineLevel="0" collapsed="false">
      <c r="A225" s="4" t="s">
        <v>302</v>
      </c>
      <c r="B225" s="4" t="n">
        <v>215</v>
      </c>
      <c r="C225" s="24" t="n">
        <f aca="true">RAND()</f>
        <v>0.562178518454788</v>
      </c>
      <c r="D225" s="25" t="n">
        <f aca="false">IF(C225&lt;(($C$6-$B$6)/($D$6-$B$6)),$B$6+SQRT(C225*($D$6-$B$6)*($C$6-$B$6)),$D$6-SQRT((1-C225)*($D$6-$B$6)*($D$6-$C$6)))</f>
        <v>11.6303263476266</v>
      </c>
      <c r="E225" s="26" t="n">
        <f aca="true">MAX(0,$E$6+$F$6*_xlfn.NORM.S.INV(RAND()))</f>
        <v>17.2845194585614</v>
      </c>
      <c r="F225" s="27" t="n">
        <f aca="false">1/(1+EXP(-03_Inputs_Assumptions!$B$14*(E225-03_Inputs_Assumptions!$B$5)))</f>
        <v>0.283153995758006</v>
      </c>
      <c r="G225" s="28" t="n">
        <f aca="false">D225*04_Baseline_PnL!$B$15*F225*04_Baseline_PnL!$B$14</f>
        <v>941681.583687549</v>
      </c>
      <c r="H225" s="28" t="n">
        <f aca="false">D225*03_Inputs_Assumptions!$B$13*01_Macro_Data!$B$97*($G$6-1)+D225*04_Baseline_PnL!$B$15*04_Baseline_PnL!$B$13*03_Inputs_Assumptions!$B$15*($H$6-1)</f>
        <v>1420872.317759</v>
      </c>
      <c r="I225" s="16" t="n">
        <f aca="false">G225+H225</f>
        <v>2362553.90144655</v>
      </c>
    </row>
    <row r="226" customFormat="false" ht="15" hidden="false" customHeight="true" outlineLevel="0" collapsed="false">
      <c r="A226" s="4" t="s">
        <v>302</v>
      </c>
      <c r="B226" s="4" t="n">
        <v>216</v>
      </c>
      <c r="C226" s="24" t="n">
        <f aca="true">RAND()</f>
        <v>0.165346834328058</v>
      </c>
      <c r="D226" s="25" t="n">
        <f aca="false">IF(C226&lt;(($C$6-$B$6)/($D$6-$B$6)),$B$6+SQRT(C226*($D$6-$B$6)*($C$6-$B$6)),$D$6-SQRT((1-C226)*($D$6-$B$6)*($D$6-$C$6)))</f>
        <v>7.98413053193462</v>
      </c>
      <c r="E226" s="26" t="n">
        <f aca="true">MAX(0,$E$6+$F$6*_xlfn.NORM.S.INV(RAND()))</f>
        <v>5.21821620404952</v>
      </c>
      <c r="F226" s="27" t="n">
        <f aca="false">1/(1+EXP(-03_Inputs_Assumptions!$B$14*(E226-03_Inputs_Assumptions!$B$5)))</f>
        <v>0.0189755523352317</v>
      </c>
      <c r="G226" s="28" t="n">
        <f aca="false">D226*04_Baseline_PnL!$B$15*F226*04_Baseline_PnL!$B$14</f>
        <v>43322.3030386078</v>
      </c>
      <c r="H226" s="28" t="n">
        <f aca="false">D226*03_Inputs_Assumptions!$B$13*01_Macro_Data!$B$97*($G$6-1)+D226*04_Baseline_PnL!$B$15*04_Baseline_PnL!$B$13*03_Inputs_Assumptions!$B$15*($H$6-1)</f>
        <v>975418.033434239</v>
      </c>
      <c r="I226" s="16" t="n">
        <f aca="false">G226+H226</f>
        <v>1018740.33647285</v>
      </c>
    </row>
    <row r="227" customFormat="false" ht="15" hidden="false" customHeight="true" outlineLevel="0" collapsed="false">
      <c r="A227" s="4" t="s">
        <v>302</v>
      </c>
      <c r="B227" s="4" t="n">
        <v>217</v>
      </c>
      <c r="C227" s="24" t="n">
        <f aca="true">RAND()</f>
        <v>0.54415706338675</v>
      </c>
      <c r="D227" s="25" t="n">
        <f aca="false">IF(C227&lt;(($C$6-$B$6)/($D$6-$B$6)),$B$6+SQRT(C227*($D$6-$B$6)*($C$6-$B$6)),$D$6-SQRT((1-C227)*($D$6-$B$6)*($D$6-$C$6)))</f>
        <v>11.4598085584619</v>
      </c>
      <c r="E227" s="26" t="n">
        <f aca="true">MAX(0,$E$6+$F$6*_xlfn.NORM.S.INV(RAND()))</f>
        <v>0</v>
      </c>
      <c r="F227" s="27" t="n">
        <f aca="false">1/(1+EXP(-03_Inputs_Assumptions!$B$14*(E227-03_Inputs_Assumptions!$B$5)))</f>
        <v>0.0052201256935584</v>
      </c>
      <c r="G227" s="28" t="n">
        <f aca="false">D227*04_Baseline_PnL!$B$15*F227*04_Baseline_PnL!$B$14</f>
        <v>17105.9738662621</v>
      </c>
      <c r="H227" s="28" t="n">
        <f aca="false">D227*03_Inputs_Assumptions!$B$13*01_Macro_Data!$B$97*($G$6-1)+D227*04_Baseline_PnL!$B$15*04_Baseline_PnL!$B$13*03_Inputs_Assumptions!$B$15*($H$6-1)</f>
        <v>1400040.22766387</v>
      </c>
      <c r="I227" s="16" t="n">
        <f aca="false">G227+H227</f>
        <v>1417146.20153013</v>
      </c>
    </row>
    <row r="228" customFormat="false" ht="15" hidden="false" customHeight="true" outlineLevel="0" collapsed="false">
      <c r="A228" s="4" t="s">
        <v>302</v>
      </c>
      <c r="B228" s="4" t="n">
        <v>218</v>
      </c>
      <c r="C228" s="24" t="n">
        <f aca="true">RAND()</f>
        <v>0.731234751385689</v>
      </c>
      <c r="D228" s="25" t="n">
        <f aca="false">IF(C228&lt;(($C$6-$B$6)/($D$6-$B$6)),$B$6+SQRT(C228*($D$6-$B$6)*($C$6-$B$6)),$D$6-SQRT((1-C228)*($D$6-$B$6)*($D$6-$C$6)))</f>
        <v>13.4423754469862</v>
      </c>
      <c r="E228" s="26" t="n">
        <f aca="true">MAX(0,$E$6+$F$6*_xlfn.NORM.S.INV(RAND()))</f>
        <v>9.71149069806811</v>
      </c>
      <c r="F228" s="27" t="n">
        <f aca="false">1/(1+EXP(-03_Inputs_Assumptions!$B$14*(E228-03_Inputs_Assumptions!$B$5)))</f>
        <v>0.0561401035204582</v>
      </c>
      <c r="G228" s="28" t="n">
        <f aca="false">D228*04_Baseline_PnL!$B$15*F228*04_Baseline_PnL!$B$14</f>
        <v>215793.6751555</v>
      </c>
      <c r="H228" s="28" t="n">
        <f aca="false">D228*03_Inputs_Assumptions!$B$13*01_Macro_Data!$B$97*($G$6-1)+D228*04_Baseline_PnL!$B$15*04_Baseline_PnL!$B$13*03_Inputs_Assumptions!$B$15*($H$6-1)</f>
        <v>1642249.63140812</v>
      </c>
      <c r="I228" s="16" t="n">
        <f aca="false">G228+H228</f>
        <v>1858043.30656362</v>
      </c>
    </row>
    <row r="229" customFormat="false" ht="15" hidden="false" customHeight="true" outlineLevel="0" collapsed="false">
      <c r="A229" s="4" t="s">
        <v>302</v>
      </c>
      <c r="B229" s="4" t="n">
        <v>219</v>
      </c>
      <c r="C229" s="24" t="n">
        <f aca="true">RAND()</f>
        <v>0.724972738824313</v>
      </c>
      <c r="D229" s="25" t="n">
        <f aca="false">IF(C229&lt;(($C$6-$B$6)/($D$6-$B$6)),$B$6+SQRT(C229*($D$6-$B$6)*($C$6-$B$6)),$D$6-SQRT((1-C229)*($D$6-$B$6)*($D$6-$C$6)))</f>
        <v>13.3664216452875</v>
      </c>
      <c r="E229" s="26" t="n">
        <f aca="true">MAX(0,$E$6+$F$6*_xlfn.NORM.S.INV(RAND()))</f>
        <v>12.5621097872335</v>
      </c>
      <c r="F229" s="27" t="n">
        <f aca="false">1/(1+EXP(-03_Inputs_Assumptions!$B$14*(E229-03_Inputs_Assumptions!$B$5)))</f>
        <v>0.108179542589474</v>
      </c>
      <c r="G229" s="28" t="n">
        <f aca="false">D229*04_Baseline_PnL!$B$15*F229*04_Baseline_PnL!$B$14</f>
        <v>413475.497980229</v>
      </c>
      <c r="H229" s="28" t="n">
        <f aca="false">D229*03_Inputs_Assumptions!$B$13*01_Macro_Data!$B$97*($G$6-1)+D229*04_Baseline_PnL!$B$15*04_Baseline_PnL!$B$13*03_Inputs_Assumptions!$B$15*($H$6-1)</f>
        <v>1632970.38583612</v>
      </c>
      <c r="I229" s="16" t="n">
        <f aca="false">G229+H229</f>
        <v>2046445.88381635</v>
      </c>
    </row>
    <row r="230" customFormat="false" ht="15" hidden="false" customHeight="true" outlineLevel="0" collapsed="false">
      <c r="A230" s="4" t="s">
        <v>302</v>
      </c>
      <c r="B230" s="4" t="n">
        <v>220</v>
      </c>
      <c r="C230" s="24" t="n">
        <f aca="true">RAND()</f>
        <v>0.425087440636117</v>
      </c>
      <c r="D230" s="25" t="n">
        <f aca="false">IF(C230&lt;(($C$6-$B$6)/($D$6-$B$6)),$B$6+SQRT(C230*($D$6-$B$6)*($C$6-$B$6)),$D$6-SQRT((1-C230)*($D$6-$B$6)*($D$6-$C$6)))</f>
        <v>10.4090662864233</v>
      </c>
      <c r="E230" s="26" t="n">
        <f aca="true">MAX(0,$E$6+$F$6*_xlfn.NORM.S.INV(RAND()))</f>
        <v>16.3529637700456</v>
      </c>
      <c r="F230" s="27" t="n">
        <f aca="false">1/(1+EXP(-03_Inputs_Assumptions!$B$14*(E230-03_Inputs_Assumptions!$B$5)))</f>
        <v>0.238347802191401</v>
      </c>
      <c r="G230" s="28" t="n">
        <f aca="false">D230*04_Baseline_PnL!$B$15*F230*04_Baseline_PnL!$B$14</f>
        <v>709434.667563859</v>
      </c>
      <c r="H230" s="28" t="n">
        <f aca="false">D230*03_Inputs_Assumptions!$B$13*01_Macro_Data!$B$97*($G$6-1)+D230*04_Baseline_PnL!$B$15*04_Baseline_PnL!$B$13*03_Inputs_Assumptions!$B$15*($H$6-1)</f>
        <v>1271671.46458583</v>
      </c>
      <c r="I230" s="16" t="n">
        <f aca="false">G230+H230</f>
        <v>1981106.13214968</v>
      </c>
    </row>
    <row r="231" customFormat="false" ht="15" hidden="false" customHeight="true" outlineLevel="0" collapsed="false">
      <c r="A231" s="4" t="s">
        <v>302</v>
      </c>
      <c r="B231" s="4" t="n">
        <v>221</v>
      </c>
      <c r="C231" s="24" t="n">
        <f aca="true">RAND()</f>
        <v>0.780251528559538</v>
      </c>
      <c r="D231" s="25" t="n">
        <f aca="false">IF(C231&lt;(($C$6-$B$6)/($D$6-$B$6)),$B$6+SQRT(C231*($D$6-$B$6)*($C$6-$B$6)),$D$6-SQRT((1-C231)*($D$6-$B$6)*($D$6-$C$6)))</f>
        <v>14.0704337906999</v>
      </c>
      <c r="E231" s="26" t="n">
        <f aca="true">MAX(0,$E$6+$F$6*_xlfn.NORM.S.INV(RAND()))</f>
        <v>6.35295833920998</v>
      </c>
      <c r="F231" s="27" t="n">
        <f aca="false">1/(1+EXP(-03_Inputs_Assumptions!$B$14*(E231-03_Inputs_Assumptions!$B$5)))</f>
        <v>0.0250439425886965</v>
      </c>
      <c r="G231" s="28" t="n">
        <f aca="false">D231*04_Baseline_PnL!$B$15*F231*04_Baseline_PnL!$B$14</f>
        <v>100762.670190256</v>
      </c>
      <c r="H231" s="28" t="n">
        <f aca="false">D231*03_Inputs_Assumptions!$B$13*01_Macro_Data!$B$97*($G$6-1)+D231*04_Baseline_PnL!$B$15*04_Baseline_PnL!$B$13*03_Inputs_Assumptions!$B$15*($H$6-1)</f>
        <v>1718979.26803629</v>
      </c>
      <c r="I231" s="16" t="n">
        <f aca="false">G231+H231</f>
        <v>1819741.93822654</v>
      </c>
    </row>
    <row r="232" customFormat="false" ht="15" hidden="false" customHeight="true" outlineLevel="0" collapsed="false">
      <c r="A232" s="4" t="s">
        <v>302</v>
      </c>
      <c r="B232" s="4" t="n">
        <v>222</v>
      </c>
      <c r="C232" s="24" t="n">
        <f aca="true">RAND()</f>
        <v>0.808400061223836</v>
      </c>
      <c r="D232" s="25" t="n">
        <f aca="false">IF(C232&lt;(($C$6-$B$6)/($D$6-$B$6)),$B$6+SQRT(C232*($D$6-$B$6)*($C$6-$B$6)),$D$6-SQRT((1-C232)*($D$6-$B$6)*($D$6-$C$6)))</f>
        <v>14.4632148132525</v>
      </c>
      <c r="E232" s="26" t="n">
        <f aca="true">MAX(0,$E$6+$F$6*_xlfn.NORM.S.INV(RAND()))</f>
        <v>6.6920204490097</v>
      </c>
      <c r="F232" s="27" t="n">
        <f aca="false">1/(1+EXP(-03_Inputs_Assumptions!$B$14*(E232-03_Inputs_Assumptions!$B$5)))</f>
        <v>0.0271991175718745</v>
      </c>
      <c r="G232" s="28" t="n">
        <f aca="false">D232*04_Baseline_PnL!$B$15*F232*04_Baseline_PnL!$B$14</f>
        <v>112488.76070125</v>
      </c>
      <c r="H232" s="28" t="n">
        <f aca="false">D232*03_Inputs_Assumptions!$B$13*01_Macro_Data!$B$97*($G$6-1)+D232*04_Baseline_PnL!$B$15*04_Baseline_PnL!$B$13*03_Inputs_Assumptions!$B$15*($H$6-1)</f>
        <v>1766965.16844914</v>
      </c>
      <c r="I232" s="16" t="n">
        <f aca="false">G232+H232</f>
        <v>1879453.92915039</v>
      </c>
    </row>
    <row r="233" customFormat="false" ht="15" hidden="false" customHeight="true" outlineLevel="0" collapsed="false">
      <c r="A233" s="4" t="s">
        <v>302</v>
      </c>
      <c r="B233" s="4" t="n">
        <v>223</v>
      </c>
      <c r="C233" s="24" t="n">
        <f aca="true">RAND()</f>
        <v>0.233902172680255</v>
      </c>
      <c r="D233" s="25" t="n">
        <f aca="false">IF(C233&lt;(($C$6-$B$6)/($D$6-$B$6)),$B$6+SQRT(C233*($D$6-$B$6)*($C$6-$B$6)),$D$6-SQRT((1-C233)*($D$6-$B$6)*($D$6-$C$6)))</f>
        <v>8.73862939860299</v>
      </c>
      <c r="E233" s="26" t="n">
        <f aca="true">MAX(0,$E$6+$F$6*_xlfn.NORM.S.INV(RAND()))</f>
        <v>11.5692717763351</v>
      </c>
      <c r="F233" s="27" t="n">
        <f aca="false">1/(1+EXP(-03_Inputs_Assumptions!$B$14*(E233-03_Inputs_Assumptions!$B$5)))</f>
        <v>0.0864570955673131</v>
      </c>
      <c r="G233" s="28" t="n">
        <f aca="false">D233*04_Baseline_PnL!$B$15*F233*04_Baseline_PnL!$B$14</f>
        <v>216039.63981205</v>
      </c>
      <c r="H233" s="28" t="n">
        <f aca="false">D233*03_Inputs_Assumptions!$B$13*01_Macro_Data!$B$97*($G$6-1)+D233*04_Baseline_PnL!$B$15*04_Baseline_PnL!$B$13*03_Inputs_Assumptions!$B$15*($H$6-1)</f>
        <v>1067594.85817557</v>
      </c>
      <c r="I233" s="16" t="n">
        <f aca="false">G233+H233</f>
        <v>1283634.49798762</v>
      </c>
    </row>
    <row r="234" customFormat="false" ht="15" hidden="false" customHeight="true" outlineLevel="0" collapsed="false">
      <c r="A234" s="4" t="s">
        <v>302</v>
      </c>
      <c r="B234" s="4" t="n">
        <v>224</v>
      </c>
      <c r="C234" s="24" t="n">
        <f aca="true">RAND()</f>
        <v>0.187695661317149</v>
      </c>
      <c r="D234" s="25" t="n">
        <f aca="false">IF(C234&lt;(($C$6-$B$6)/($D$6-$B$6)),$B$6+SQRT(C234*($D$6-$B$6)*($C$6-$B$6)),$D$6-SQRT((1-C234)*($D$6-$B$6)*($D$6-$C$6)))</f>
        <v>8.24485376502492</v>
      </c>
      <c r="E234" s="26" t="n">
        <f aca="true">MAX(0,$E$6+$F$6*_xlfn.NORM.S.INV(RAND()))</f>
        <v>10.1379372763243</v>
      </c>
      <c r="F234" s="27" t="n">
        <f aca="false">1/(1+EXP(-03_Inputs_Assumptions!$B$14*(E234-03_Inputs_Assumptions!$B$5)))</f>
        <v>0.0620639956215632</v>
      </c>
      <c r="G234" s="28" t="n">
        <f aca="false">D234*04_Baseline_PnL!$B$15*F234*04_Baseline_PnL!$B$14</f>
        <v>146322.856244606</v>
      </c>
      <c r="H234" s="28" t="n">
        <f aca="false">D234*03_Inputs_Assumptions!$B$13*01_Macro_Data!$B$97*($G$6-1)+D234*04_Baseline_PnL!$B$15*04_Baseline_PnL!$B$13*03_Inputs_Assumptions!$B$15*($H$6-1)</f>
        <v>1007270.48653159</v>
      </c>
      <c r="I234" s="16" t="n">
        <f aca="false">G234+H234</f>
        <v>1153593.3427762</v>
      </c>
    </row>
    <row r="235" customFormat="false" ht="15" hidden="false" customHeight="true" outlineLevel="0" collapsed="false">
      <c r="A235" s="4" t="s">
        <v>302</v>
      </c>
      <c r="B235" s="4" t="n">
        <v>225</v>
      </c>
      <c r="C235" s="24" t="n">
        <f aca="true">RAND()</f>
        <v>0.235066867306246</v>
      </c>
      <c r="D235" s="25" t="n">
        <f aca="false">IF(C235&lt;(($C$6-$B$6)/($D$6-$B$6)),$B$6+SQRT(C235*($D$6-$B$6)*($C$6-$B$6)),$D$6-SQRT((1-C235)*($D$6-$B$6)*($D$6-$C$6)))</f>
        <v>8.75041253591724</v>
      </c>
      <c r="E235" s="26" t="n">
        <f aca="true">MAX(0,$E$6+$F$6*_xlfn.NORM.S.INV(RAND()))</f>
        <v>7.65774396288636</v>
      </c>
      <c r="F235" s="27" t="n">
        <f aca="false">1/(1+EXP(-03_Inputs_Assumptions!$B$14*(E235-03_Inputs_Assumptions!$B$5)))</f>
        <v>0.0343710832269004</v>
      </c>
      <c r="G235" s="28" t="n">
        <f aca="false">D235*04_Baseline_PnL!$B$15*F235*04_Baseline_PnL!$B$14</f>
        <v>86002.5302942874</v>
      </c>
      <c r="H235" s="28" t="n">
        <f aca="false">D235*03_Inputs_Assumptions!$B$13*01_Macro_Data!$B$97*($G$6-1)+D235*04_Baseline_PnL!$B$15*04_Baseline_PnL!$B$13*03_Inputs_Assumptions!$B$15*($H$6-1)</f>
        <v>1069034.39934799</v>
      </c>
      <c r="I235" s="16" t="n">
        <f aca="false">G235+H235</f>
        <v>1155036.92964228</v>
      </c>
    </row>
    <row r="236" customFormat="false" ht="15" hidden="false" customHeight="true" outlineLevel="0" collapsed="false">
      <c r="A236" s="4" t="s">
        <v>302</v>
      </c>
      <c r="B236" s="4" t="n">
        <v>226</v>
      </c>
      <c r="C236" s="24" t="n">
        <f aca="true">RAND()</f>
        <v>0.385103064532983</v>
      </c>
      <c r="D236" s="25" t="n">
        <f aca="false">IF(C236&lt;(($C$6-$B$6)/($D$6-$B$6)),$B$6+SQRT(C236*($D$6-$B$6)*($C$6-$B$6)),$D$6-SQRT((1-C236)*($D$6-$B$6)*($D$6-$C$6)))</f>
        <v>10.0811538133348</v>
      </c>
      <c r="E236" s="26" t="n">
        <f aca="true">MAX(0,$E$6+$F$6*_xlfn.NORM.S.INV(RAND()))</f>
        <v>13.3705087142618</v>
      </c>
      <c r="F236" s="27" t="n">
        <f aca="false">1/(1+EXP(-03_Inputs_Assumptions!$B$14*(E236-03_Inputs_Assumptions!$B$5)))</f>
        <v>0.129276289778569</v>
      </c>
      <c r="G236" s="28" t="n">
        <f aca="false">D236*04_Baseline_PnL!$B$15*F236*04_Baseline_PnL!$B$14</f>
        <v>372664.995828331</v>
      </c>
      <c r="H236" s="28" t="n">
        <f aca="false">D236*03_Inputs_Assumptions!$B$13*01_Macro_Data!$B$97*($G$6-1)+D236*04_Baseline_PnL!$B$15*04_Baseline_PnL!$B$13*03_Inputs_Assumptions!$B$15*($H$6-1)</f>
        <v>1231610.52891359</v>
      </c>
      <c r="I236" s="16" t="n">
        <f aca="false">G236+H236</f>
        <v>1604275.52474192</v>
      </c>
    </row>
    <row r="237" customFormat="false" ht="15" hidden="false" customHeight="true" outlineLevel="0" collapsed="false">
      <c r="A237" s="4" t="s">
        <v>302</v>
      </c>
      <c r="B237" s="4" t="n">
        <v>227</v>
      </c>
      <c r="C237" s="24" t="n">
        <f aca="true">RAND()</f>
        <v>0.635071209771459</v>
      </c>
      <c r="D237" s="25" t="n">
        <f aca="false">IF(C237&lt;(($C$6-$B$6)/($D$6-$B$6)),$B$6+SQRT(C237*($D$6-$B$6)*($C$6-$B$6)),$D$6-SQRT((1-C237)*($D$6-$B$6)*($D$6-$C$6)))</f>
        <v>12.3587562245033</v>
      </c>
      <c r="E237" s="26" t="n">
        <f aca="true">MAX(0,$E$6+$F$6*_xlfn.NORM.S.INV(RAND()))</f>
        <v>12.7631330157563</v>
      </c>
      <c r="F237" s="27" t="n">
        <f aca="false">1/(1+EXP(-03_Inputs_Assumptions!$B$14*(E237-03_Inputs_Assumptions!$B$5)))</f>
        <v>0.113124387985539</v>
      </c>
      <c r="G237" s="28" t="n">
        <f aca="false">D237*04_Baseline_PnL!$B$15*F237*04_Baseline_PnL!$B$14</f>
        <v>399779.471744462</v>
      </c>
      <c r="H237" s="28" t="n">
        <f aca="false">D237*03_Inputs_Assumptions!$B$13*01_Macro_Data!$B$97*($G$6-1)+D237*04_Baseline_PnL!$B$15*04_Baseline_PnL!$B$13*03_Inputs_Assumptions!$B$15*($H$6-1)</f>
        <v>1509864.30444508</v>
      </c>
      <c r="I237" s="16" t="n">
        <f aca="false">G237+H237</f>
        <v>1909643.77618954</v>
      </c>
    </row>
    <row r="238" customFormat="false" ht="15" hidden="false" customHeight="true" outlineLevel="0" collapsed="false">
      <c r="A238" s="4" t="s">
        <v>302</v>
      </c>
      <c r="B238" s="4" t="n">
        <v>228</v>
      </c>
      <c r="C238" s="24" t="n">
        <f aca="true">RAND()</f>
        <v>0.749686028341984</v>
      </c>
      <c r="D238" s="25" t="n">
        <f aca="false">IF(C238&lt;(($C$6-$B$6)/($D$6-$B$6)),$B$6+SQRT(C238*($D$6-$B$6)*($C$6-$B$6)),$D$6-SQRT((1-C238)*($D$6-$B$6)*($D$6-$C$6)))</f>
        <v>13.6714744635672</v>
      </c>
      <c r="E238" s="26" t="n">
        <f aca="true">MAX(0,$E$6+$F$6*_xlfn.NORM.S.INV(RAND()))</f>
        <v>2.35330587746549</v>
      </c>
      <c r="F238" s="27" t="n">
        <f aca="false">1/(1+EXP(-03_Inputs_Assumptions!$B$14*(E238-03_Inputs_Assumptions!$B$5)))</f>
        <v>0.00936215494321453</v>
      </c>
      <c r="G238" s="28" t="n">
        <f aca="false">D238*04_Baseline_PnL!$B$15*F238*04_Baseline_PnL!$B$14</f>
        <v>36599.9642554227</v>
      </c>
      <c r="H238" s="28" t="n">
        <f aca="false">D238*03_Inputs_Assumptions!$B$13*01_Macro_Data!$B$97*($G$6-1)+D238*04_Baseline_PnL!$B$15*04_Baseline_PnL!$B$13*03_Inputs_Assumptions!$B$15*($H$6-1)</f>
        <v>1670238.56662422</v>
      </c>
      <c r="I238" s="16" t="n">
        <f aca="false">G238+H238</f>
        <v>1706838.53087964</v>
      </c>
    </row>
    <row r="239" customFormat="false" ht="15" hidden="false" customHeight="true" outlineLevel="0" collapsed="false">
      <c r="A239" s="4" t="s">
        <v>302</v>
      </c>
      <c r="B239" s="4" t="n">
        <v>229</v>
      </c>
      <c r="C239" s="24" t="n">
        <f aca="true">RAND()</f>
        <v>0.131910259138689</v>
      </c>
      <c r="D239" s="25" t="n">
        <f aca="false">IF(C239&lt;(($C$6-$B$6)/($D$6-$B$6)),$B$6+SQRT(C239*($D$6-$B$6)*($C$6-$B$6)),$D$6-SQRT((1-C239)*($D$6-$B$6)*($D$6-$C$6)))</f>
        <v>7.55856500254163</v>
      </c>
      <c r="E239" s="26" t="n">
        <f aca="true">MAX(0,$E$6+$F$6*_xlfn.NORM.S.INV(RAND()))</f>
        <v>17.2547088429111</v>
      </c>
      <c r="F239" s="27" t="n">
        <f aca="false">1/(1+EXP(-03_Inputs_Assumptions!$B$14*(E239-03_Inputs_Assumptions!$B$5)))</f>
        <v>0.281643720098745</v>
      </c>
      <c r="G239" s="28" t="n">
        <f aca="false">D239*04_Baseline_PnL!$B$15*F239*04_Baseline_PnL!$B$14</f>
        <v>608735.887017382</v>
      </c>
      <c r="H239" s="28" t="n">
        <f aca="false">D239*03_Inputs_Assumptions!$B$13*01_Macro_Data!$B$97*($G$6-1)+D239*04_Baseline_PnL!$B$15*04_Baseline_PnL!$B$13*03_Inputs_Assumptions!$B$15*($H$6-1)</f>
        <v>923426.86293451</v>
      </c>
      <c r="I239" s="16" t="n">
        <f aca="false">G239+H239</f>
        <v>1532162.74995189</v>
      </c>
    </row>
    <row r="240" customFormat="false" ht="15" hidden="false" customHeight="true" outlineLevel="0" collapsed="false">
      <c r="A240" s="4" t="s">
        <v>302</v>
      </c>
      <c r="B240" s="4" t="n">
        <v>230</v>
      </c>
      <c r="C240" s="24" t="n">
        <f aca="true">RAND()</f>
        <v>0.811015424872404</v>
      </c>
      <c r="D240" s="25" t="n">
        <f aca="false">IF(C240&lt;(($C$6-$B$6)/($D$6-$B$6)),$B$6+SQRT(C240*($D$6-$B$6)*($C$6-$B$6)),$D$6-SQRT((1-C240)*($D$6-$B$6)*($D$6-$C$6)))</f>
        <v>14.5011335695059</v>
      </c>
      <c r="E240" s="26" t="n">
        <f aca="true">MAX(0,$E$6+$F$6*_xlfn.NORM.S.INV(RAND()))</f>
        <v>11.7250583298081</v>
      </c>
      <c r="F240" s="27" t="n">
        <f aca="false">1/(1+EXP(-03_Inputs_Assumptions!$B$14*(E240-03_Inputs_Assumptions!$B$5)))</f>
        <v>0.0895831426386355</v>
      </c>
      <c r="G240" s="28" t="n">
        <f aca="false">D240*04_Baseline_PnL!$B$15*F240*04_Baseline_PnL!$B$14</f>
        <v>371464.852609809</v>
      </c>
      <c r="H240" s="28" t="n">
        <f aca="false">D240*03_Inputs_Assumptions!$B$13*01_Macro_Data!$B$97*($G$6-1)+D240*04_Baseline_PnL!$B$15*04_Baseline_PnL!$B$13*03_Inputs_Assumptions!$B$15*($H$6-1)</f>
        <v>1771597.6877331</v>
      </c>
      <c r="I240" s="16" t="n">
        <f aca="false">G240+H240</f>
        <v>2143062.54034291</v>
      </c>
    </row>
    <row r="241" customFormat="false" ht="15" hidden="false" customHeight="true" outlineLevel="0" collapsed="false">
      <c r="A241" s="4" t="s">
        <v>302</v>
      </c>
      <c r="B241" s="4" t="n">
        <v>231</v>
      </c>
      <c r="C241" s="24" t="n">
        <f aca="true">RAND()</f>
        <v>0.573240741709866</v>
      </c>
      <c r="D241" s="25" t="n">
        <f aca="false">IF(C241&lt;(($C$6-$B$6)/($D$6-$B$6)),$B$6+SQRT(C241*($D$6-$B$6)*($C$6-$B$6)),$D$6-SQRT((1-C241)*($D$6-$B$6)*($D$6-$C$6)))</f>
        <v>11.7367390621849</v>
      </c>
      <c r="E241" s="26" t="n">
        <f aca="true">MAX(0,$E$6+$F$6*_xlfn.NORM.S.INV(RAND()))</f>
        <v>4.16669014422136</v>
      </c>
      <c r="F241" s="27" t="n">
        <f aca="false">1/(1+EXP(-03_Inputs_Assumptions!$B$14*(E241-03_Inputs_Assumptions!$B$5)))</f>
        <v>0.0146533076369006</v>
      </c>
      <c r="G241" s="28" t="n">
        <f aca="false">D241*04_Baseline_PnL!$B$15*F241*04_Baseline_PnL!$B$14</f>
        <v>49178.1964980411</v>
      </c>
      <c r="H241" s="28" t="n">
        <f aca="false">D241*03_Inputs_Assumptions!$B$13*01_Macro_Data!$B$97*($G$6-1)+D241*04_Baseline_PnL!$B$15*04_Baseline_PnL!$B$13*03_Inputs_Assumptions!$B$15*($H$6-1)</f>
        <v>1433872.7165315</v>
      </c>
      <c r="I241" s="16" t="n">
        <f aca="false">G241+H241</f>
        <v>1483050.91302954</v>
      </c>
    </row>
    <row r="242" customFormat="false" ht="15" hidden="false" customHeight="true" outlineLevel="0" collapsed="false">
      <c r="A242" s="4" t="s">
        <v>302</v>
      </c>
      <c r="B242" s="4" t="n">
        <v>232</v>
      </c>
      <c r="C242" s="24" t="n">
        <f aca="true">RAND()</f>
        <v>0.215608579085389</v>
      </c>
      <c r="D242" s="25" t="n">
        <f aca="false">IF(C242&lt;(($C$6-$B$6)/($D$6-$B$6)),$B$6+SQRT(C242*($D$6-$B$6)*($C$6-$B$6)),$D$6-SQRT((1-C242)*($D$6-$B$6)*($D$6-$C$6)))</f>
        <v>8.54955202104529</v>
      </c>
      <c r="E242" s="26" t="n">
        <f aca="true">MAX(0,$E$6+$F$6*_xlfn.NORM.S.INV(RAND()))</f>
        <v>9.20344359670838</v>
      </c>
      <c r="F242" s="27" t="n">
        <f aca="false">1/(1+EXP(-03_Inputs_Assumptions!$B$14*(E242-03_Inputs_Assumptions!$B$5)))</f>
        <v>0.0497772158321589</v>
      </c>
      <c r="G242" s="28" t="n">
        <f aca="false">D242*04_Baseline_PnL!$B$15*F242*04_Baseline_PnL!$B$14</f>
        <v>121692.396048506</v>
      </c>
      <c r="H242" s="28" t="n">
        <f aca="false">D242*03_Inputs_Assumptions!$B$13*01_Macro_Data!$B$97*($G$6-1)+D242*04_Baseline_PnL!$B$15*04_Baseline_PnL!$B$13*03_Inputs_Assumptions!$B$15*($H$6-1)</f>
        <v>1044495.3505903</v>
      </c>
      <c r="I242" s="16" t="n">
        <f aca="false">G242+H242</f>
        <v>1166187.7466388</v>
      </c>
    </row>
    <row r="243" customFormat="false" ht="15" hidden="false" customHeight="true" outlineLevel="0" collapsed="false">
      <c r="A243" s="4" t="s">
        <v>302</v>
      </c>
      <c r="B243" s="4" t="n">
        <v>233</v>
      </c>
      <c r="C243" s="24" t="n">
        <f aca="true">RAND()</f>
        <v>0.714572220566812</v>
      </c>
      <c r="D243" s="25" t="n">
        <f aca="false">IF(C243&lt;(($C$6-$B$6)/($D$6-$B$6)),$B$6+SQRT(C243*($D$6-$B$6)*($C$6-$B$6)),$D$6-SQRT((1-C243)*($D$6-$B$6)*($D$6-$C$6)))</f>
        <v>13.2421568004792</v>
      </c>
      <c r="E243" s="26" t="n">
        <f aca="true">MAX(0,$E$6+$F$6*_xlfn.NORM.S.INV(RAND()))</f>
        <v>10.8180860733782</v>
      </c>
      <c r="F243" s="27" t="n">
        <f aca="false">1/(1+EXP(-03_Inputs_Assumptions!$B$14*(E243-03_Inputs_Assumptions!$B$5)))</f>
        <v>0.0727308328570249</v>
      </c>
      <c r="G243" s="28" t="n">
        <f aca="false">D243*04_Baseline_PnL!$B$15*F243*04_Baseline_PnL!$B$14</f>
        <v>275401.795989473</v>
      </c>
      <c r="H243" s="28" t="n">
        <f aca="false">D243*03_Inputs_Assumptions!$B$13*01_Macro_Data!$B$97*($G$6-1)+D243*04_Baseline_PnL!$B$15*04_Baseline_PnL!$B$13*03_Inputs_Assumptions!$B$15*($H$6-1)</f>
        <v>1617788.99945182</v>
      </c>
      <c r="I243" s="16" t="n">
        <f aca="false">G243+H243</f>
        <v>1893190.79544129</v>
      </c>
    </row>
    <row r="244" customFormat="false" ht="15" hidden="false" customHeight="true" outlineLevel="0" collapsed="false">
      <c r="A244" s="4" t="s">
        <v>302</v>
      </c>
      <c r="B244" s="4" t="n">
        <v>234</v>
      </c>
      <c r="C244" s="24" t="n">
        <f aca="true">RAND()</f>
        <v>0.703716764654337</v>
      </c>
      <c r="D244" s="25" t="n">
        <f aca="false">IF(C244&lt;(($C$6-$B$6)/($D$6-$B$6)),$B$6+SQRT(C244*($D$6-$B$6)*($C$6-$B$6)),$D$6-SQRT((1-C244)*($D$6-$B$6)*($D$6-$C$6)))</f>
        <v>13.1148480296143</v>
      </c>
      <c r="E244" s="26" t="n">
        <f aca="true">MAX(0,$E$6+$F$6*_xlfn.NORM.S.INV(RAND()))</f>
        <v>13.245894863711</v>
      </c>
      <c r="F244" s="27" t="n">
        <f aca="false">1/(1+EXP(-03_Inputs_Assumptions!$B$14*(E244-03_Inputs_Assumptions!$B$5)))</f>
        <v>0.125809848983845</v>
      </c>
      <c r="G244" s="28" t="n">
        <f aca="false">D244*04_Baseline_PnL!$B$15*F244*04_Baseline_PnL!$B$14</f>
        <v>471810.264303422</v>
      </c>
      <c r="H244" s="28" t="n">
        <f aca="false">D244*03_Inputs_Assumptions!$B$13*01_Macro_Data!$B$97*($G$6-1)+D244*04_Baseline_PnL!$B$15*04_Baseline_PnL!$B$13*03_Inputs_Assumptions!$B$15*($H$6-1)</f>
        <v>1602235.73783877</v>
      </c>
      <c r="I244" s="16" t="n">
        <f aca="false">G244+H244</f>
        <v>2074046.00214219</v>
      </c>
    </row>
    <row r="245" customFormat="false" ht="15" hidden="false" customHeight="true" outlineLevel="0" collapsed="false">
      <c r="A245" s="4" t="s">
        <v>302</v>
      </c>
      <c r="B245" s="4" t="n">
        <v>235</v>
      </c>
      <c r="C245" s="24" t="n">
        <f aca="true">RAND()</f>
        <v>0.0908052590534373</v>
      </c>
      <c r="D245" s="25" t="n">
        <f aca="false">IF(C245&lt;(($C$6-$B$6)/($D$6-$B$6)),$B$6+SQRT(C245*($D$6-$B$6)*($C$6-$B$6)),$D$6-SQRT((1-C245)*($D$6-$B$6)*($D$6-$C$6)))</f>
        <v>6.95250823354144</v>
      </c>
      <c r="E245" s="26" t="n">
        <f aca="true">MAX(0,$E$6+$F$6*_xlfn.NORM.S.INV(RAND()))</f>
        <v>14.3231209722679</v>
      </c>
      <c r="F245" s="27" t="n">
        <f aca="false">1/(1+EXP(-03_Inputs_Assumptions!$B$14*(E245-03_Inputs_Assumptions!$B$5)))</f>
        <v>0.158528233226126</v>
      </c>
      <c r="G245" s="28" t="n">
        <f aca="false">D245*04_Baseline_PnL!$B$15*F245*04_Baseline_PnL!$B$14</f>
        <v>315164.732065447</v>
      </c>
      <c r="H245" s="28" t="n">
        <f aca="false">D245*03_Inputs_Assumptions!$B$13*01_Macro_Data!$B$97*($G$6-1)+D245*04_Baseline_PnL!$B$15*04_Baseline_PnL!$B$13*03_Inputs_Assumptions!$B$15*($H$6-1)</f>
        <v>849385.149888464</v>
      </c>
      <c r="I245" s="16" t="n">
        <f aca="false">G245+H245</f>
        <v>1164549.88195391</v>
      </c>
    </row>
    <row r="246" customFormat="false" ht="15" hidden="false" customHeight="true" outlineLevel="0" collapsed="false">
      <c r="A246" s="4" t="s">
        <v>302</v>
      </c>
      <c r="B246" s="4" t="n">
        <v>236</v>
      </c>
      <c r="C246" s="24" t="n">
        <f aca="true">RAND()</f>
        <v>0.248507589626142</v>
      </c>
      <c r="D246" s="25" t="n">
        <f aca="false">IF(C246&lt;(($C$6-$B$6)/($D$6-$B$6)),$B$6+SQRT(C246*($D$6-$B$6)*($C$6-$B$6)),$D$6-SQRT((1-C246)*($D$6-$B$6)*($D$6-$C$6)))</f>
        <v>8.88433502169023</v>
      </c>
      <c r="E246" s="26" t="n">
        <f aca="true">MAX(0,$E$6+$F$6*_xlfn.NORM.S.INV(RAND()))</f>
        <v>4.68068507773034</v>
      </c>
      <c r="F246" s="27" t="n">
        <f aca="false">1/(1+EXP(-03_Inputs_Assumptions!$B$14*(E246-03_Inputs_Assumptions!$B$5)))</f>
        <v>0.016629156581306</v>
      </c>
      <c r="G246" s="28" t="n">
        <f aca="false">D246*04_Baseline_PnL!$B$15*F246*04_Baseline_PnL!$B$14</f>
        <v>42245.9062596098</v>
      </c>
      <c r="H246" s="28" t="n">
        <f aca="false">D246*03_Inputs_Assumptions!$B$13*01_Macro_Data!$B$97*($G$6-1)+D246*04_Baseline_PnL!$B$15*04_Baseline_PnL!$B$13*03_Inputs_Assumptions!$B$15*($H$6-1)</f>
        <v>1085395.65586589</v>
      </c>
      <c r="I246" s="16" t="n">
        <f aca="false">G246+H246</f>
        <v>1127641.5621255</v>
      </c>
    </row>
    <row r="247" customFormat="false" ht="15" hidden="false" customHeight="true" outlineLevel="0" collapsed="false">
      <c r="A247" s="4" t="s">
        <v>302</v>
      </c>
      <c r="B247" s="4" t="n">
        <v>237</v>
      </c>
      <c r="C247" s="24" t="n">
        <f aca="true">RAND()</f>
        <v>0.621237466982355</v>
      </c>
      <c r="D247" s="25" t="n">
        <f aca="false">IF(C247&lt;(($C$6-$B$6)/($D$6-$B$6)),$B$6+SQRT(C247*($D$6-$B$6)*($C$6-$B$6)),$D$6-SQRT((1-C247)*($D$6-$B$6)*($D$6-$C$6)))</f>
        <v>12.2152710205927</v>
      </c>
      <c r="E247" s="26" t="n">
        <f aca="true">MAX(0,$E$6+$F$6*_xlfn.NORM.S.INV(RAND()))</f>
        <v>13.4625335639999</v>
      </c>
      <c r="F247" s="27" t="n">
        <f aca="false">1/(1+EXP(-03_Inputs_Assumptions!$B$14*(E247-03_Inputs_Assumptions!$B$5)))</f>
        <v>0.131888120449965</v>
      </c>
      <c r="G247" s="28" t="n">
        <f aca="false">D247*04_Baseline_PnL!$B$15*F247*04_Baseline_PnL!$B$14</f>
        <v>460678.843074318</v>
      </c>
      <c r="H247" s="28" t="n">
        <f aca="false">D247*03_Inputs_Assumptions!$B$13*01_Macro_Data!$B$97*($G$6-1)+D247*04_Baseline_PnL!$B$15*04_Baseline_PnL!$B$13*03_Inputs_Assumptions!$B$15*($H$6-1)</f>
        <v>1492334.77447741</v>
      </c>
      <c r="I247" s="16" t="n">
        <f aca="false">G247+H247</f>
        <v>1953013.61755173</v>
      </c>
    </row>
    <row r="248" customFormat="false" ht="15" hidden="false" customHeight="true" outlineLevel="0" collapsed="false">
      <c r="A248" s="4" t="s">
        <v>302</v>
      </c>
      <c r="B248" s="4" t="n">
        <v>238</v>
      </c>
      <c r="C248" s="24" t="n">
        <f aca="true">RAND()</f>
        <v>0.813859122398334</v>
      </c>
      <c r="D248" s="25" t="n">
        <f aca="false">IF(C248&lt;(($C$6-$B$6)/($D$6-$B$6)),$B$6+SQRT(C248*($D$6-$B$6)*($C$6-$B$6)),$D$6-SQRT((1-C248)*($D$6-$B$6)*($D$6-$C$6)))</f>
        <v>14.5426617828591</v>
      </c>
      <c r="E248" s="26" t="n">
        <f aca="true">MAX(0,$E$6+$F$6*_xlfn.NORM.S.INV(RAND()))</f>
        <v>8.54829895339835</v>
      </c>
      <c r="F248" s="27" t="n">
        <f aca="false">1/(1+EXP(-03_Inputs_Assumptions!$B$14*(E248-03_Inputs_Assumptions!$B$5)))</f>
        <v>0.0425772379431356</v>
      </c>
      <c r="G248" s="28" t="n">
        <f aca="false">D248*04_Baseline_PnL!$B$15*F248*04_Baseline_PnL!$B$14</f>
        <v>177056.090187142</v>
      </c>
      <c r="H248" s="28" t="n">
        <f aca="false">D248*03_Inputs_Assumptions!$B$13*01_Macro_Data!$B$97*($G$6-1)+D248*04_Baseline_PnL!$B$15*04_Baseline_PnL!$B$13*03_Inputs_Assumptions!$B$15*($H$6-1)</f>
        <v>1776671.17294718</v>
      </c>
      <c r="I248" s="16" t="n">
        <f aca="false">G248+H248</f>
        <v>1953727.26313433</v>
      </c>
    </row>
    <row r="249" customFormat="false" ht="15" hidden="false" customHeight="true" outlineLevel="0" collapsed="false">
      <c r="A249" s="4" t="s">
        <v>302</v>
      </c>
      <c r="B249" s="4" t="n">
        <v>239</v>
      </c>
      <c r="C249" s="24" t="n">
        <f aca="true">RAND()</f>
        <v>0.705769124386046</v>
      </c>
      <c r="D249" s="25" t="n">
        <f aca="false">IF(C249&lt;(($C$6-$B$6)/($D$6-$B$6)),$B$6+SQRT(C249*($D$6-$B$6)*($C$6-$B$6)),$D$6-SQRT((1-C249)*($D$6-$B$6)*($D$6-$C$6)))</f>
        <v>13.1387362608458</v>
      </c>
      <c r="E249" s="26" t="n">
        <f aca="true">MAX(0,$E$6+$F$6*_xlfn.NORM.S.INV(RAND()))</f>
        <v>2.64423391177752</v>
      </c>
      <c r="F249" s="27" t="n">
        <f aca="false">1/(1+EXP(-03_Inputs_Assumptions!$B$14*(E249-03_Inputs_Assumptions!$B$5)))</f>
        <v>0.0100613509856192</v>
      </c>
      <c r="G249" s="28" t="n">
        <f aca="false">D249*04_Baseline_PnL!$B$15*F249*04_Baseline_PnL!$B$14</f>
        <v>37800.6593857339</v>
      </c>
      <c r="H249" s="28" t="n">
        <f aca="false">D249*03_Inputs_Assumptions!$B$13*01_Macro_Data!$B$97*($G$6-1)+D249*04_Baseline_PnL!$B$15*04_Baseline_PnL!$B$13*03_Inputs_Assumptions!$B$15*($H$6-1)</f>
        <v>1605154.15349302</v>
      </c>
      <c r="I249" s="16" t="n">
        <f aca="false">G249+H249</f>
        <v>1642954.81287876</v>
      </c>
    </row>
    <row r="250" customFormat="false" ht="15" hidden="false" customHeight="true" outlineLevel="0" collapsed="false">
      <c r="A250" s="4" t="s">
        <v>302</v>
      </c>
      <c r="B250" s="4" t="n">
        <v>240</v>
      </c>
      <c r="C250" s="24" t="n">
        <f aca="true">RAND()</f>
        <v>0.192596513065552</v>
      </c>
      <c r="D250" s="25" t="n">
        <f aca="false">IF(C250&lt;(($C$6-$B$6)/($D$6-$B$6)),$B$6+SQRT(C250*($D$6-$B$6)*($C$6-$B$6)),$D$6-SQRT((1-C250)*($D$6-$B$6)*($D$6-$C$6)))</f>
        <v>8.29991456360391</v>
      </c>
      <c r="E250" s="26" t="n">
        <f aca="true">MAX(0,$E$6+$F$6*_xlfn.NORM.S.INV(RAND()))</f>
        <v>13.4143802107434</v>
      </c>
      <c r="F250" s="27" t="n">
        <f aca="false">1/(1+EXP(-03_Inputs_Assumptions!$B$14*(E250-03_Inputs_Assumptions!$B$5)))</f>
        <v>0.130515904711763</v>
      </c>
      <c r="G250" s="28" t="n">
        <f aca="false">D250*04_Baseline_PnL!$B$15*F250*04_Baseline_PnL!$B$14</f>
        <v>309760.859976949</v>
      </c>
      <c r="H250" s="28" t="n">
        <f aca="false">D250*03_Inputs_Assumptions!$B$13*01_Macro_Data!$B$97*($G$6-1)+D250*04_Baseline_PnL!$B$15*04_Baseline_PnL!$B$13*03_Inputs_Assumptions!$B$15*($H$6-1)</f>
        <v>1013997.24226966</v>
      </c>
      <c r="I250" s="16" t="n">
        <f aca="false">G250+H250</f>
        <v>1323758.10224661</v>
      </c>
    </row>
    <row r="251" customFormat="false" ht="15" hidden="false" customHeight="true" outlineLevel="0" collapsed="false">
      <c r="A251" s="4" t="s">
        <v>302</v>
      </c>
      <c r="B251" s="4" t="n">
        <v>241</v>
      </c>
      <c r="C251" s="24" t="n">
        <f aca="true">RAND()</f>
        <v>0.832113097285844</v>
      </c>
      <c r="D251" s="25" t="n">
        <f aca="false">IF(C251&lt;(($C$6-$B$6)/($D$6-$B$6)),$B$6+SQRT(C251*($D$6-$B$6)*($C$6-$B$6)),$D$6-SQRT((1-C251)*($D$6-$B$6)*($D$6-$C$6)))</f>
        <v>14.8171528640848</v>
      </c>
      <c r="E251" s="26" t="n">
        <f aca="true">MAX(0,$E$6+$F$6*_xlfn.NORM.S.INV(RAND()))</f>
        <v>12.0391279689439</v>
      </c>
      <c r="F251" s="27" t="n">
        <f aca="false">1/(1+EXP(-03_Inputs_Assumptions!$B$14*(E251-03_Inputs_Assumptions!$B$5)))</f>
        <v>0.0961965858360221</v>
      </c>
      <c r="G251" s="28" t="n">
        <f aca="false">D251*04_Baseline_PnL!$B$15*F251*04_Baseline_PnL!$B$14</f>
        <v>407580.972462782</v>
      </c>
      <c r="H251" s="28" t="n">
        <f aca="false">D251*03_Inputs_Assumptions!$B$13*01_Macro_Data!$B$97*($G$6-1)+D251*04_Baseline_PnL!$B$15*04_Baseline_PnL!$B$13*03_Inputs_Assumptions!$B$15*($H$6-1)</f>
        <v>1810205.63854409</v>
      </c>
      <c r="I251" s="16" t="n">
        <f aca="false">G251+H251</f>
        <v>2217786.61100687</v>
      </c>
    </row>
    <row r="252" customFormat="false" ht="15" hidden="false" customHeight="true" outlineLevel="0" collapsed="false">
      <c r="A252" s="4" t="s">
        <v>302</v>
      </c>
      <c r="B252" s="4" t="n">
        <v>242</v>
      </c>
      <c r="C252" s="24" t="n">
        <f aca="true">RAND()</f>
        <v>0.115678860361652</v>
      </c>
      <c r="D252" s="25" t="n">
        <f aca="false">IF(C252&lt;(($C$6-$B$6)/($D$6-$B$6)),$B$6+SQRT(C252*($D$6-$B$6)*($C$6-$B$6)),$D$6-SQRT((1-C252)*($D$6-$B$6)*($D$6-$C$6)))</f>
        <v>7.33244213673975</v>
      </c>
      <c r="E252" s="26" t="n">
        <f aca="true">MAX(0,$E$6+$F$6*_xlfn.NORM.S.INV(RAND()))</f>
        <v>7.16170341177099</v>
      </c>
      <c r="F252" s="27" t="n">
        <f aca="false">1/(1+EXP(-03_Inputs_Assumptions!$B$14*(E252-03_Inputs_Assumptions!$B$5)))</f>
        <v>0.0304846169620595</v>
      </c>
      <c r="G252" s="28" t="n">
        <f aca="false">D252*04_Baseline_PnL!$B$15*F252*04_Baseline_PnL!$B$14</f>
        <v>63917.3657923156</v>
      </c>
      <c r="H252" s="28" t="n">
        <f aca="false">D252*03_Inputs_Assumptions!$B$13*01_Macro_Data!$B$97*($G$6-1)+D252*04_Baseline_PnL!$B$15*04_Baseline_PnL!$B$13*03_Inputs_Assumptions!$B$15*($H$6-1)</f>
        <v>895801.522868641</v>
      </c>
      <c r="I252" s="16" t="n">
        <f aca="false">G252+H252</f>
        <v>959718.888660956</v>
      </c>
    </row>
    <row r="253" customFormat="false" ht="15" hidden="false" customHeight="true" outlineLevel="0" collapsed="false">
      <c r="A253" s="4" t="s">
        <v>302</v>
      </c>
      <c r="B253" s="4" t="n">
        <v>243</v>
      </c>
      <c r="C253" s="24" t="n">
        <f aca="true">RAND()</f>
        <v>0.611316918705162</v>
      </c>
      <c r="D253" s="25" t="n">
        <f aca="false">IF(C253&lt;(($C$6-$B$6)/($D$6-$B$6)),$B$6+SQRT(C253*($D$6-$B$6)*($C$6-$B$6)),$D$6-SQRT((1-C253)*($D$6-$B$6)*($D$6-$C$6)))</f>
        <v>12.1139811687282</v>
      </c>
      <c r="E253" s="26" t="n">
        <f aca="true">MAX(0,$E$6+$F$6*_xlfn.NORM.S.INV(RAND()))</f>
        <v>17.8771322156427</v>
      </c>
      <c r="F253" s="27" t="n">
        <f aca="false">1/(1+EXP(-03_Inputs_Assumptions!$B$14*(E253-03_Inputs_Assumptions!$B$5)))</f>
        <v>0.314165388338572</v>
      </c>
      <c r="G253" s="28" t="n">
        <f aca="false">D253*04_Baseline_PnL!$B$15*F253*04_Baseline_PnL!$B$14</f>
        <v>1088265.12671459</v>
      </c>
      <c r="H253" s="28" t="n">
        <f aca="false">D253*03_Inputs_Assumptions!$B$13*01_Macro_Data!$B$97*($G$6-1)+D253*04_Baseline_PnL!$B$15*04_Baseline_PnL!$B$13*03_Inputs_Assumptions!$B$15*($H$6-1)</f>
        <v>1479960.23379105</v>
      </c>
      <c r="I253" s="16" t="n">
        <f aca="false">G253+H253</f>
        <v>2568225.36050564</v>
      </c>
    </row>
    <row r="254" customFormat="false" ht="15" hidden="false" customHeight="true" outlineLevel="0" collapsed="false">
      <c r="A254" s="4" t="s">
        <v>302</v>
      </c>
      <c r="B254" s="4" t="n">
        <v>244</v>
      </c>
      <c r="C254" s="24" t="n">
        <f aca="true">RAND()</f>
        <v>0.819193151303619</v>
      </c>
      <c r="D254" s="25" t="n">
        <f aca="false">IF(C254&lt;(($C$6-$B$6)/($D$6-$B$6)),$B$6+SQRT(C254*($D$6-$B$6)*($C$6-$B$6)),$D$6-SQRT((1-C254)*($D$6-$B$6)*($D$6-$C$6)))</f>
        <v>14.6214225122788</v>
      </c>
      <c r="E254" s="26" t="n">
        <f aca="true">MAX(0,$E$6+$F$6*_xlfn.NORM.S.INV(RAND()))</f>
        <v>12.4986768667084</v>
      </c>
      <c r="F254" s="27" t="n">
        <f aca="false">1/(1+EXP(-03_Inputs_Assumptions!$B$14*(E254-03_Inputs_Assumptions!$B$5)))</f>
        <v>0.106659071845592</v>
      </c>
      <c r="G254" s="28" t="n">
        <f aca="false">D254*04_Baseline_PnL!$B$15*F254*04_Baseline_PnL!$B$14</f>
        <v>445940.491690744</v>
      </c>
      <c r="H254" s="28" t="n">
        <f aca="false">D254*03_Inputs_Assumptions!$B$13*01_Macro_Data!$B$97*($G$6-1)+D254*04_Baseline_PnL!$B$15*04_Baseline_PnL!$B$13*03_Inputs_Assumptions!$B$15*($H$6-1)</f>
        <v>1786293.3397561</v>
      </c>
      <c r="I254" s="16" t="n">
        <f aca="false">G254+H254</f>
        <v>2232233.83144684</v>
      </c>
    </row>
    <row r="255" customFormat="false" ht="15" hidden="false" customHeight="true" outlineLevel="0" collapsed="false">
      <c r="A255" s="4" t="s">
        <v>302</v>
      </c>
      <c r="B255" s="4" t="n">
        <v>245</v>
      </c>
      <c r="C255" s="24" t="n">
        <f aca="true">RAND()</f>
        <v>0.738315401902324</v>
      </c>
      <c r="D255" s="25" t="n">
        <f aca="false">IF(C255&lt;(($C$6-$B$6)/($D$6-$B$6)),$B$6+SQRT(C255*($D$6-$B$6)*($C$6-$B$6)),$D$6-SQRT((1-C255)*($D$6-$B$6)*($D$6-$C$6)))</f>
        <v>13.5293326699924</v>
      </c>
      <c r="E255" s="26" t="n">
        <f aca="true">MAX(0,$E$6+$F$6*_xlfn.NORM.S.INV(RAND()))</f>
        <v>15.772929269394</v>
      </c>
      <c r="F255" s="27" t="n">
        <f aca="false">1/(1+EXP(-03_Inputs_Assumptions!$B$14*(E255-03_Inputs_Assumptions!$B$5)))</f>
        <v>0.2130282304342</v>
      </c>
      <c r="G255" s="28" t="n">
        <f aca="false">D255*04_Baseline_PnL!$B$15*F255*04_Baseline_PnL!$B$14</f>
        <v>824143.839782795</v>
      </c>
      <c r="H255" s="28" t="n">
        <f aca="false">D255*03_Inputs_Assumptions!$B$13*01_Macro_Data!$B$97*($G$6-1)+D255*04_Baseline_PnL!$B$15*04_Baseline_PnL!$B$13*03_Inputs_Assumptions!$B$15*($H$6-1)</f>
        <v>1652873.1605599</v>
      </c>
      <c r="I255" s="16" t="n">
        <f aca="false">G255+H255</f>
        <v>2477017.00034269</v>
      </c>
    </row>
    <row r="256" customFormat="false" ht="15" hidden="false" customHeight="true" outlineLevel="0" collapsed="false">
      <c r="A256" s="4" t="s">
        <v>302</v>
      </c>
      <c r="B256" s="4" t="n">
        <v>246</v>
      </c>
      <c r="C256" s="24" t="n">
        <f aca="true">RAND()</f>
        <v>0.235046311401785</v>
      </c>
      <c r="D256" s="25" t="n">
        <f aca="false">IF(C256&lt;(($C$6-$B$6)/($D$6-$B$6)),$B$6+SQRT(C256*($D$6-$B$6)*($C$6-$B$6)),$D$6-SQRT((1-C256)*($D$6-$B$6)*($D$6-$C$6)))</f>
        <v>8.75020482659131</v>
      </c>
      <c r="E256" s="26" t="n">
        <f aca="true">MAX(0,$E$6+$F$6*_xlfn.NORM.S.INV(RAND()))</f>
        <v>5.83832143928889</v>
      </c>
      <c r="F256" s="27" t="n">
        <f aca="false">1/(1+EXP(-03_Inputs_Assumptions!$B$14*(E256-03_Inputs_Assumptions!$B$5)))</f>
        <v>0.0220872563553183</v>
      </c>
      <c r="G256" s="28" t="n">
        <f aca="false">D256*04_Baseline_PnL!$B$15*F256*04_Baseline_PnL!$B$14</f>
        <v>55264.9106591165</v>
      </c>
      <c r="H256" s="28" t="n">
        <f aca="false">D256*03_Inputs_Assumptions!$B$13*01_Macro_Data!$B$97*($G$6-1)+D256*04_Baseline_PnL!$B$15*04_Baseline_PnL!$B$13*03_Inputs_Assumptions!$B$15*($H$6-1)</f>
        <v>1069009.02358273</v>
      </c>
      <c r="I256" s="16" t="n">
        <f aca="false">G256+H256</f>
        <v>1124273.93424185</v>
      </c>
    </row>
    <row r="257" customFormat="false" ht="15" hidden="false" customHeight="true" outlineLevel="0" collapsed="false">
      <c r="A257" s="4" t="s">
        <v>302</v>
      </c>
      <c r="B257" s="4" t="n">
        <v>247</v>
      </c>
      <c r="C257" s="24" t="n">
        <f aca="true">RAND()</f>
        <v>0.979613270665253</v>
      </c>
      <c r="D257" s="25" t="n">
        <f aca="false">IF(C257&lt;(($C$6-$B$6)/($D$6-$B$6)),$B$6+SQRT(C257*($D$6-$B$6)*($C$6-$B$6)),$D$6-SQRT((1-C257)*($D$6-$B$6)*($D$6-$C$6)))</f>
        <v>18.1939333640312</v>
      </c>
      <c r="E257" s="26" t="n">
        <f aca="true">MAX(0,$E$6+$F$6*_xlfn.NORM.S.INV(RAND()))</f>
        <v>22.0574755537614</v>
      </c>
      <c r="F257" s="27" t="n">
        <f aca="false">1/(1+EXP(-03_Inputs_Assumptions!$B$14*(E257-03_Inputs_Assumptions!$B$5)))</f>
        <v>0.565709956453008</v>
      </c>
      <c r="G257" s="28" t="n">
        <f aca="false">D257*04_Baseline_PnL!$B$15*F257*04_Baseline_PnL!$B$14</f>
        <v>2943133.10220722</v>
      </c>
      <c r="H257" s="28" t="n">
        <f aca="false">D257*03_Inputs_Assumptions!$B$13*01_Macro_Data!$B$97*($G$6-1)+D257*04_Baseline_PnL!$B$15*04_Baseline_PnL!$B$13*03_Inputs_Assumptions!$B$15*($H$6-1)</f>
        <v>2222745.56151035</v>
      </c>
      <c r="I257" s="16" t="n">
        <f aca="false">G257+H257</f>
        <v>5165878.66371757</v>
      </c>
    </row>
    <row r="258" customFormat="false" ht="15" hidden="false" customHeight="true" outlineLevel="0" collapsed="false">
      <c r="A258" s="4" t="s">
        <v>302</v>
      </c>
      <c r="B258" s="4" t="n">
        <v>248</v>
      </c>
      <c r="C258" s="24" t="n">
        <f aca="true">RAND()</f>
        <v>0.636456958968208</v>
      </c>
      <c r="D258" s="25" t="n">
        <f aca="false">IF(C258&lt;(($C$6-$B$6)/($D$6-$B$6)),$B$6+SQRT(C258*($D$6-$B$6)*($C$6-$B$6)),$D$6-SQRT((1-C258)*($D$6-$B$6)*($D$6-$C$6)))</f>
        <v>12.373278124575</v>
      </c>
      <c r="E258" s="26" t="n">
        <f aca="true">MAX(0,$E$6+$F$6*_xlfn.NORM.S.INV(RAND()))</f>
        <v>16.6501059708788</v>
      </c>
      <c r="F258" s="27" t="n">
        <f aca="false">1/(1+EXP(-03_Inputs_Assumptions!$B$14*(E258-03_Inputs_Assumptions!$B$5)))</f>
        <v>0.252094331932572</v>
      </c>
      <c r="G258" s="28" t="n">
        <f aca="false">D258*04_Baseline_PnL!$B$15*F258*04_Baseline_PnL!$B$14</f>
        <v>891943.484581035</v>
      </c>
      <c r="H258" s="28" t="n">
        <f aca="false">D258*03_Inputs_Assumptions!$B$13*01_Macro_Data!$B$97*($G$6-1)+D258*04_Baseline_PnL!$B$15*04_Baseline_PnL!$B$13*03_Inputs_Assumptions!$B$15*($H$6-1)</f>
        <v>1511638.43916807</v>
      </c>
      <c r="I258" s="16" t="n">
        <f aca="false">G258+H258</f>
        <v>2403581.92374911</v>
      </c>
    </row>
    <row r="259" customFormat="false" ht="15" hidden="false" customHeight="true" outlineLevel="0" collapsed="false">
      <c r="A259" s="4" t="s">
        <v>302</v>
      </c>
      <c r="B259" s="4" t="n">
        <v>249</v>
      </c>
      <c r="C259" s="24" t="n">
        <f aca="true">RAND()</f>
        <v>0.874514511309136</v>
      </c>
      <c r="D259" s="25" t="n">
        <f aca="false">IF(C259&lt;(($C$6-$B$6)/($D$6-$B$6)),$B$6+SQRT(C259*($D$6-$B$6)*($C$6-$B$6)),$D$6-SQRT((1-C259)*($D$6-$B$6)*($D$6-$C$6)))</f>
        <v>15.519187775577</v>
      </c>
      <c r="E259" s="26" t="n">
        <f aca="true">MAX(0,$E$6+$F$6*_xlfn.NORM.S.INV(RAND()))</f>
        <v>16.0739620538124</v>
      </c>
      <c r="F259" s="27" t="n">
        <f aca="false">1/(1+EXP(-03_Inputs_Assumptions!$B$14*(E259-03_Inputs_Assumptions!$B$5)))</f>
        <v>0.225917339484097</v>
      </c>
      <c r="G259" s="28" t="n">
        <f aca="false">D259*04_Baseline_PnL!$B$15*F259*04_Baseline_PnL!$B$14</f>
        <v>1002554.60029566</v>
      </c>
      <c r="H259" s="28" t="n">
        <f aca="false">D259*03_Inputs_Assumptions!$B$13*01_Macro_Data!$B$97*($G$6-1)+D259*04_Baseline_PnL!$B$15*04_Baseline_PnL!$B$13*03_Inputs_Assumptions!$B$15*($H$6-1)</f>
        <v>1895972.96286714</v>
      </c>
      <c r="I259" s="16" t="n">
        <f aca="false">G259+H259</f>
        <v>2898527.5631628</v>
      </c>
    </row>
    <row r="260" customFormat="false" ht="15" hidden="false" customHeight="true" outlineLevel="0" collapsed="false">
      <c r="A260" s="4" t="s">
        <v>302</v>
      </c>
      <c r="B260" s="4" t="n">
        <v>250</v>
      </c>
      <c r="C260" s="24" t="n">
        <f aca="true">RAND()</f>
        <v>0.37067279384914</v>
      </c>
      <c r="D260" s="25" t="n">
        <f aca="false">IF(C260&lt;(($C$6-$B$6)/($D$6-$B$6)),$B$6+SQRT(C260*($D$6-$B$6)*($C$6-$B$6)),$D$6-SQRT((1-C260)*($D$6-$B$6)*($D$6-$C$6)))</f>
        <v>9.96528190528473</v>
      </c>
      <c r="E260" s="26" t="n">
        <f aca="true">MAX(0,$E$6+$F$6*_xlfn.NORM.S.INV(RAND()))</f>
        <v>11.1072966561661</v>
      </c>
      <c r="F260" s="27" t="n">
        <f aca="false">1/(1+EXP(-03_Inputs_Assumptions!$B$14*(E260-03_Inputs_Assumptions!$B$5)))</f>
        <v>0.0777601790871816</v>
      </c>
      <c r="G260" s="28" t="n">
        <f aca="false">D260*04_Baseline_PnL!$B$15*F260*04_Baseline_PnL!$B$14</f>
        <v>221582.940953791</v>
      </c>
      <c r="H260" s="28" t="n">
        <f aca="false">D260*03_Inputs_Assumptions!$B$13*01_Macro_Data!$B$97*($G$6-1)+D260*04_Baseline_PnL!$B$15*04_Baseline_PnL!$B$13*03_Inputs_Assumptions!$B$15*($H$6-1)</f>
        <v>1217454.50425587</v>
      </c>
      <c r="I260" s="16" t="n">
        <f aca="false">G260+H260</f>
        <v>1439037.44520967</v>
      </c>
    </row>
    <row r="261" customFormat="false" ht="15" hidden="false" customHeight="true" outlineLevel="0" collapsed="false">
      <c r="A261" s="4" t="s">
        <v>302</v>
      </c>
      <c r="B261" s="4" t="n">
        <v>251</v>
      </c>
      <c r="C261" s="24" t="n">
        <f aca="true">RAND()</f>
        <v>0.448089810685845</v>
      </c>
      <c r="D261" s="25" t="n">
        <f aca="false">IF(C261&lt;(($C$6-$B$6)/($D$6-$B$6)),$B$6+SQRT(C261*($D$6-$B$6)*($C$6-$B$6)),$D$6-SQRT((1-C261)*($D$6-$B$6)*($D$6-$C$6)))</f>
        <v>10.6028924508514</v>
      </c>
      <c r="E261" s="26" t="n">
        <f aca="true">MAX(0,$E$6+$F$6*_xlfn.NORM.S.INV(RAND()))</f>
        <v>11.2750121957438</v>
      </c>
      <c r="F261" s="27" t="n">
        <f aca="false">1/(1+EXP(-03_Inputs_Assumptions!$B$14*(E261-03_Inputs_Assumptions!$B$5)))</f>
        <v>0.0808207843028273</v>
      </c>
      <c r="G261" s="28" t="n">
        <f aca="false">D261*04_Baseline_PnL!$B$15*F261*04_Baseline_PnL!$B$14</f>
        <v>245039.951637499</v>
      </c>
      <c r="H261" s="28" t="n">
        <f aca="false">D261*03_Inputs_Assumptions!$B$13*01_Macro_Data!$B$97*($G$6-1)+D261*04_Baseline_PnL!$B$15*04_Baseline_PnL!$B$13*03_Inputs_Assumptions!$B$15*($H$6-1)</f>
        <v>1295351.12956354</v>
      </c>
      <c r="I261" s="16" t="n">
        <f aca="false">G261+H261</f>
        <v>1540391.08120104</v>
      </c>
    </row>
    <row r="262" customFormat="false" ht="15" hidden="false" customHeight="true" outlineLevel="0" collapsed="false">
      <c r="A262" s="4" t="s">
        <v>302</v>
      </c>
      <c r="B262" s="4" t="n">
        <v>252</v>
      </c>
      <c r="C262" s="24" t="n">
        <f aca="true">RAND()</f>
        <v>0.483443765632277</v>
      </c>
      <c r="D262" s="25" t="n">
        <f aca="false">IF(C262&lt;(($C$6-$B$6)/($D$6-$B$6)),$B$6+SQRT(C262*($D$6-$B$6)*($C$6-$B$6)),$D$6-SQRT((1-C262)*($D$6-$B$6)*($D$6-$C$6)))</f>
        <v>10.9088505952858</v>
      </c>
      <c r="E262" s="26" t="n">
        <f aca="true">MAX(0,$E$6+$F$6*_xlfn.NORM.S.INV(RAND()))</f>
        <v>6.96597408141776</v>
      </c>
      <c r="F262" s="27" t="n">
        <f aca="false">1/(1+EXP(-03_Inputs_Assumptions!$B$14*(E262-03_Inputs_Assumptions!$B$5)))</f>
        <v>0.0290711623493068</v>
      </c>
      <c r="G262" s="28" t="n">
        <f aca="false">D262*04_Baseline_PnL!$B$15*F262*04_Baseline_PnL!$B$14</f>
        <v>90684.0424436806</v>
      </c>
      <c r="H262" s="28" t="n">
        <f aca="false">D262*03_Inputs_Assumptions!$B$13*01_Macro_Data!$B$97*($G$6-1)+D262*04_Baseline_PnL!$B$15*04_Baseline_PnL!$B$13*03_Inputs_Assumptions!$B$15*($H$6-1)</f>
        <v>1332729.91368583</v>
      </c>
      <c r="I262" s="16" t="n">
        <f aca="false">G262+H262</f>
        <v>1423413.95612951</v>
      </c>
    </row>
    <row r="263" customFormat="false" ht="15" hidden="false" customHeight="true" outlineLevel="0" collapsed="false">
      <c r="A263" s="4" t="s">
        <v>302</v>
      </c>
      <c r="B263" s="4" t="n">
        <v>253</v>
      </c>
      <c r="C263" s="24" t="n">
        <f aca="true">RAND()</f>
        <v>0.464934147411719</v>
      </c>
      <c r="D263" s="25" t="n">
        <f aca="false">IF(C263&lt;(($C$6-$B$6)/($D$6-$B$6)),$B$6+SQRT(C263*($D$6-$B$6)*($C$6-$B$6)),$D$6-SQRT((1-C263)*($D$6-$B$6)*($D$6-$C$6)))</f>
        <v>10.747403801412</v>
      </c>
      <c r="E263" s="26" t="n">
        <f aca="true">MAX(0,$E$6+$F$6*_xlfn.NORM.S.INV(RAND()))</f>
        <v>8.38848781855765</v>
      </c>
      <c r="F263" s="27" t="n">
        <f aca="false">1/(1+EXP(-03_Inputs_Assumptions!$B$14*(E263-03_Inputs_Assumptions!$B$5)))</f>
        <v>0.040978024856414</v>
      </c>
      <c r="G263" s="28" t="n">
        <f aca="false">D263*04_Baseline_PnL!$B$15*F263*04_Baseline_PnL!$B$14</f>
        <v>125934.31066648</v>
      </c>
      <c r="H263" s="28" t="n">
        <f aca="false">D263*03_Inputs_Assumptions!$B$13*01_Macro_Data!$B$97*($G$6-1)+D263*04_Baseline_PnL!$B$15*04_Baseline_PnL!$B$13*03_Inputs_Assumptions!$B$15*($H$6-1)</f>
        <v>1313006.02345698</v>
      </c>
      <c r="I263" s="16" t="n">
        <f aca="false">G263+H263</f>
        <v>1438940.33412346</v>
      </c>
    </row>
    <row r="264" customFormat="false" ht="15" hidden="false" customHeight="true" outlineLevel="0" collapsed="false">
      <c r="A264" s="4" t="s">
        <v>302</v>
      </c>
      <c r="B264" s="4" t="n">
        <v>254</v>
      </c>
      <c r="C264" s="24" t="n">
        <f aca="true">RAND()</f>
        <v>0.933574799704051</v>
      </c>
      <c r="D264" s="25" t="n">
        <f aca="false">IF(C264&lt;(($C$6-$B$6)/($D$6-$B$6)),$B$6+SQRT(C264*($D$6-$B$6)*($C$6-$B$6)),$D$6-SQRT((1-C264)*($D$6-$B$6)*($D$6-$C$6)))</f>
        <v>16.7399337357422</v>
      </c>
      <c r="E264" s="26" t="n">
        <f aca="true">MAX(0,$E$6+$F$6*_xlfn.NORM.S.INV(RAND()))</f>
        <v>18.9319271872525</v>
      </c>
      <c r="F264" s="27" t="n">
        <f aca="false">1/(1+EXP(-03_Inputs_Assumptions!$B$14*(E264-03_Inputs_Assumptions!$B$5)))</f>
        <v>0.373549741437939</v>
      </c>
      <c r="G264" s="28" t="n">
        <f aca="false">D264*04_Baseline_PnL!$B$15*F264*04_Baseline_PnL!$B$14</f>
        <v>1788099.39366054</v>
      </c>
      <c r="H264" s="28" t="n">
        <f aca="false">D264*03_Inputs_Assumptions!$B$13*01_Macro_Data!$B$97*($G$6-1)+D264*04_Baseline_PnL!$B$15*04_Baseline_PnL!$B$13*03_Inputs_Assumptions!$B$15*($H$6-1)</f>
        <v>2045111.00852213</v>
      </c>
      <c r="I264" s="16" t="n">
        <f aca="false">G264+H264</f>
        <v>3833210.40218267</v>
      </c>
    </row>
    <row r="265" customFormat="false" ht="15" hidden="false" customHeight="true" outlineLevel="0" collapsed="false">
      <c r="A265" s="4" t="s">
        <v>302</v>
      </c>
      <c r="B265" s="4" t="n">
        <v>255</v>
      </c>
      <c r="C265" s="24" t="n">
        <f aca="true">RAND()</f>
        <v>0.979463343766968</v>
      </c>
      <c r="D265" s="25" t="n">
        <f aca="false">IF(C265&lt;(($C$6-$B$6)/($D$6-$B$6)),$B$6+SQRT(C265*($D$6-$B$6)*($C$6-$B$6)),$D$6-SQRT((1-C265)*($D$6-$B$6)*($D$6-$C$6)))</f>
        <v>18.1873044940517</v>
      </c>
      <c r="E265" s="26" t="n">
        <f aca="true">MAX(0,$E$6+$F$6*_xlfn.NORM.S.INV(RAND()))</f>
        <v>14.3777029758216</v>
      </c>
      <c r="F265" s="27" t="n">
        <f aca="false">1/(1+EXP(-03_Inputs_Assumptions!$B$14*(E265-03_Inputs_Assumptions!$B$5)))</f>
        <v>0.160356995390182</v>
      </c>
      <c r="G265" s="28" t="n">
        <f aca="false">D265*04_Baseline_PnL!$B$15*F265*04_Baseline_PnL!$B$14</f>
        <v>833960.976897616</v>
      </c>
      <c r="H265" s="28" t="n">
        <f aca="false">D265*03_Inputs_Assumptions!$B$13*01_Macro_Data!$B$97*($G$6-1)+D265*04_Baseline_PnL!$B$15*04_Baseline_PnL!$B$13*03_Inputs_Assumptions!$B$15*($H$6-1)</f>
        <v>2221935.7151165</v>
      </c>
      <c r="I265" s="16" t="n">
        <f aca="false">G265+H265</f>
        <v>3055896.69201412</v>
      </c>
    </row>
    <row r="266" customFormat="false" ht="15" hidden="false" customHeight="true" outlineLevel="0" collapsed="false">
      <c r="A266" s="4" t="s">
        <v>302</v>
      </c>
      <c r="B266" s="4" t="n">
        <v>256</v>
      </c>
      <c r="C266" s="24" t="n">
        <f aca="true">RAND()</f>
        <v>0.430377935240551</v>
      </c>
      <c r="D266" s="25" t="n">
        <f aca="false">IF(C266&lt;(($C$6-$B$6)/($D$6-$B$6)),$B$6+SQRT(C266*($D$6-$B$6)*($C$6-$B$6)),$D$6-SQRT((1-C266)*($D$6-$B$6)*($D$6-$C$6)))</f>
        <v>10.4532974089735</v>
      </c>
      <c r="E266" s="26" t="n">
        <f aca="true">MAX(0,$E$6+$F$6*_xlfn.NORM.S.INV(RAND()))</f>
        <v>12.8162786723445</v>
      </c>
      <c r="F266" s="27" t="n">
        <f aca="false">1/(1+EXP(-03_Inputs_Assumptions!$B$14*(E266-03_Inputs_Assumptions!$B$5)))</f>
        <v>0.114464244931672</v>
      </c>
      <c r="G266" s="28" t="n">
        <f aca="false">D266*04_Baseline_PnL!$B$15*F266*04_Baseline_PnL!$B$14</f>
        <v>342146.920759319</v>
      </c>
      <c r="H266" s="28" t="n">
        <f aca="false">D266*03_Inputs_Assumptions!$B$13*01_Macro_Data!$B$97*($G$6-1)+D266*04_Baseline_PnL!$B$15*04_Baseline_PnL!$B$13*03_Inputs_Assumptions!$B$15*($H$6-1)</f>
        <v>1277075.16313533</v>
      </c>
      <c r="I266" s="16" t="n">
        <f aca="false">G266+H266</f>
        <v>1619222.08389465</v>
      </c>
    </row>
    <row r="267" customFormat="false" ht="15" hidden="false" customHeight="true" outlineLevel="0" collapsed="false">
      <c r="A267" s="4" t="s">
        <v>302</v>
      </c>
      <c r="B267" s="4" t="n">
        <v>257</v>
      </c>
      <c r="C267" s="24" t="n">
        <f aca="true">RAND()</f>
        <v>0.85968193570444</v>
      </c>
      <c r="D267" s="25" t="n">
        <f aca="false">IF(C267&lt;(($C$6-$B$6)/($D$6-$B$6)),$B$6+SQRT(C267*($D$6-$B$6)*($C$6-$B$6)),$D$6-SQRT((1-C267)*($D$6-$B$6)*($D$6-$C$6)))</f>
        <v>15.2617629557725</v>
      </c>
      <c r="E267" s="26" t="n">
        <f aca="true">MAX(0,$E$6+$F$6*_xlfn.NORM.S.INV(RAND()))</f>
        <v>13.2490376090034</v>
      </c>
      <c r="F267" s="27" t="n">
        <f aca="false">1/(1+EXP(-03_Inputs_Assumptions!$B$14*(E267-03_Inputs_Assumptions!$B$5)))</f>
        <v>0.125896285533152</v>
      </c>
      <c r="G267" s="28" t="n">
        <f aca="false">D267*04_Baseline_PnL!$B$15*F267*04_Baseline_PnL!$B$14</f>
        <v>549423.336453005</v>
      </c>
      <c r="H267" s="28" t="n">
        <f aca="false">D267*03_Inputs_Assumptions!$B$13*01_Macro_Data!$B$97*($G$6-1)+D267*04_Baseline_PnL!$B$15*04_Baseline_PnL!$B$13*03_Inputs_Assumptions!$B$15*($H$6-1)</f>
        <v>1864523.47560155</v>
      </c>
      <c r="I267" s="16" t="n">
        <f aca="false">G267+H267</f>
        <v>2413946.81205455</v>
      </c>
    </row>
    <row r="268" customFormat="false" ht="15" hidden="false" customHeight="true" outlineLevel="0" collapsed="false">
      <c r="A268" s="4" t="s">
        <v>302</v>
      </c>
      <c r="B268" s="4" t="n">
        <v>258</v>
      </c>
      <c r="C268" s="24" t="n">
        <f aca="true">RAND()</f>
        <v>0.998360792285807</v>
      </c>
      <c r="D268" s="25" t="n">
        <f aca="false">IF(C268&lt;(($C$6-$B$6)/($D$6-$B$6)),$B$6+SQRT(C268*($D$6-$B$6)*($C$6-$B$6)),$D$6-SQRT((1-C268)*($D$6-$B$6)*($D$6-$C$6)))</f>
        <v>19.4878738102079</v>
      </c>
      <c r="E268" s="26" t="n">
        <f aca="true">MAX(0,$E$6+$F$6*_xlfn.NORM.S.INV(RAND()))</f>
        <v>15.8887076429968</v>
      </c>
      <c r="F268" s="27" t="n">
        <f aca="false">1/(1+EXP(-03_Inputs_Assumptions!$B$14*(E268-03_Inputs_Assumptions!$B$5)))</f>
        <v>0.217921009786065</v>
      </c>
      <c r="G268" s="28" t="n">
        <f aca="false">D268*04_Baseline_PnL!$B$15*F268*04_Baseline_PnL!$B$14</f>
        <v>1214375.62836423</v>
      </c>
      <c r="H268" s="28" t="n">
        <f aca="false">D268*03_Inputs_Assumptions!$B$13*01_Macro_Data!$B$97*($G$6-1)+D268*04_Baseline_PnL!$B$15*04_Baseline_PnL!$B$13*03_Inputs_Assumptions!$B$15*($H$6-1)</f>
        <v>2380825.74824358</v>
      </c>
      <c r="I268" s="16" t="n">
        <f aca="false">G268+H268</f>
        <v>3595201.37660781</v>
      </c>
    </row>
    <row r="269" customFormat="false" ht="15" hidden="false" customHeight="true" outlineLevel="0" collapsed="false">
      <c r="A269" s="4" t="s">
        <v>302</v>
      </c>
      <c r="B269" s="4" t="n">
        <v>259</v>
      </c>
      <c r="C269" s="24" t="n">
        <f aca="true">RAND()</f>
        <v>0.369416296329527</v>
      </c>
      <c r="D269" s="25" t="n">
        <f aca="false">IF(C269&lt;(($C$6-$B$6)/($D$6-$B$6)),$B$6+SQRT(C269*($D$6-$B$6)*($C$6-$B$6)),$D$6-SQRT((1-C269)*($D$6-$B$6)*($D$6-$C$6)))</f>
        <v>9.95516283972442</v>
      </c>
      <c r="E269" s="26" t="n">
        <f aca="true">MAX(0,$E$6+$F$6*_xlfn.NORM.S.INV(RAND()))</f>
        <v>20.1114602041737</v>
      </c>
      <c r="F269" s="27" t="n">
        <f aca="false">1/(1+EXP(-03_Inputs_Assumptions!$B$14*(E269-03_Inputs_Assumptions!$B$5)))</f>
        <v>0.444693495997722</v>
      </c>
      <c r="G269" s="28" t="n">
        <f aca="false">D269*04_Baseline_PnL!$B$15*F269*04_Baseline_PnL!$B$14</f>
        <v>1265897.74765955</v>
      </c>
      <c r="H269" s="28" t="n">
        <f aca="false">D269*03_Inputs_Assumptions!$B$13*01_Macro_Data!$B$97*($G$6-1)+D269*04_Baseline_PnL!$B$15*04_Baseline_PnL!$B$13*03_Inputs_Assumptions!$B$15*($H$6-1)</f>
        <v>1216218.262064</v>
      </c>
      <c r="I269" s="16" t="n">
        <f aca="false">G269+H269</f>
        <v>2482116.00972354</v>
      </c>
    </row>
    <row r="270" customFormat="false" ht="15" hidden="false" customHeight="true" outlineLevel="0" collapsed="false">
      <c r="A270" s="4" t="s">
        <v>302</v>
      </c>
      <c r="B270" s="4" t="n">
        <v>260</v>
      </c>
      <c r="C270" s="24" t="n">
        <f aca="true">RAND()</f>
        <v>0.409330283418898</v>
      </c>
      <c r="D270" s="25" t="n">
        <f aca="false">IF(C270&lt;(($C$6-$B$6)/($D$6-$B$6)),$B$6+SQRT(C270*($D$6-$B$6)*($C$6-$B$6)),$D$6-SQRT((1-C270)*($D$6-$B$6)*($D$6-$C$6)))</f>
        <v>10.2785209637126</v>
      </c>
      <c r="E270" s="26" t="n">
        <f aca="true">MAX(0,$E$6+$F$6*_xlfn.NORM.S.INV(RAND()))</f>
        <v>15.9751833058305</v>
      </c>
      <c r="F270" s="27" t="n">
        <f aca="false">1/(1+EXP(-03_Inputs_Assumptions!$B$14*(E270-03_Inputs_Assumptions!$B$5)))</f>
        <v>0.221628014624909</v>
      </c>
      <c r="G270" s="28" t="n">
        <f aca="false">D270*04_Baseline_PnL!$B$15*F270*04_Baseline_PnL!$B$14</f>
        <v>651395.513824622</v>
      </c>
      <c r="H270" s="28" t="n">
        <f aca="false">D270*03_Inputs_Assumptions!$B$13*01_Macro_Data!$B$97*($G$6-1)+D270*04_Baseline_PnL!$B$15*04_Baseline_PnL!$B$13*03_Inputs_Assumptions!$B$15*($H$6-1)</f>
        <v>1255722.79472838</v>
      </c>
      <c r="I270" s="16" t="n">
        <f aca="false">G270+H270</f>
        <v>1907118.308553</v>
      </c>
    </row>
    <row r="271" customFormat="false" ht="15" hidden="false" customHeight="true" outlineLevel="0" collapsed="false">
      <c r="A271" s="4" t="s">
        <v>302</v>
      </c>
      <c r="B271" s="4" t="n">
        <v>261</v>
      </c>
      <c r="C271" s="24" t="n">
        <f aca="true">RAND()</f>
        <v>0.134810771207606</v>
      </c>
      <c r="D271" s="25" t="n">
        <f aca="false">IF(C271&lt;(($C$6-$B$6)/($D$6-$B$6)),$B$6+SQRT(C271*($D$6-$B$6)*($C$6-$B$6)),$D$6-SQRT((1-C271)*($D$6-$B$6)*($D$6-$C$6)))</f>
        <v>7.59747606467787</v>
      </c>
      <c r="E271" s="26" t="n">
        <f aca="true">MAX(0,$E$6+$F$6*_xlfn.NORM.S.INV(RAND()))</f>
        <v>16.1560638325398</v>
      </c>
      <c r="F271" s="27" t="n">
        <f aca="false">1/(1+EXP(-03_Inputs_Assumptions!$B$14*(E271-03_Inputs_Assumptions!$B$5)))</f>
        <v>0.22952698239712</v>
      </c>
      <c r="G271" s="28" t="n">
        <f aca="false">D271*04_Baseline_PnL!$B$15*F271*04_Baseline_PnL!$B$14</f>
        <v>498646.263183399</v>
      </c>
      <c r="H271" s="28" t="n">
        <f aca="false">D271*03_Inputs_Assumptions!$B$13*01_Macro_Data!$B$97*($G$6-1)+D271*04_Baseline_PnL!$B$15*04_Baseline_PnL!$B$13*03_Inputs_Assumptions!$B$15*($H$6-1)</f>
        <v>928180.611831269</v>
      </c>
      <c r="I271" s="16" t="n">
        <f aca="false">G271+H271</f>
        <v>1426826.87501467</v>
      </c>
    </row>
    <row r="272" customFormat="false" ht="15" hidden="false" customHeight="true" outlineLevel="0" collapsed="false">
      <c r="A272" s="4" t="s">
        <v>302</v>
      </c>
      <c r="B272" s="4" t="n">
        <v>262</v>
      </c>
      <c r="C272" s="24" t="n">
        <f aca="true">RAND()</f>
        <v>0.838569902352126</v>
      </c>
      <c r="D272" s="25" t="n">
        <f aca="false">IF(C272&lt;(($C$6-$B$6)/($D$6-$B$6)),$B$6+SQRT(C272*($D$6-$B$6)*($C$6-$B$6)),$D$6-SQRT((1-C272)*($D$6-$B$6)*($D$6-$C$6)))</f>
        <v>14.9177942167146</v>
      </c>
      <c r="E272" s="26" t="n">
        <f aca="true">MAX(0,$E$6+$F$6*_xlfn.NORM.S.INV(RAND()))</f>
        <v>13.1229096589887</v>
      </c>
      <c r="F272" s="27" t="n">
        <f aca="false">1/(1+EXP(-03_Inputs_Assumptions!$B$14*(E272-03_Inputs_Assumptions!$B$5)))</f>
        <v>0.122467039793501</v>
      </c>
      <c r="G272" s="28" t="n">
        <f aca="false">D272*04_Baseline_PnL!$B$15*F272*04_Baseline_PnL!$B$14</f>
        <v>522412.203758807</v>
      </c>
      <c r="H272" s="28" t="n">
        <f aca="false">D272*03_Inputs_Assumptions!$B$13*01_Macro_Data!$B$97*($G$6-1)+D272*04_Baseline_PnL!$B$15*04_Baseline_PnL!$B$13*03_Inputs_Assumptions!$B$15*($H$6-1)</f>
        <v>1822500.95233833</v>
      </c>
      <c r="I272" s="16" t="n">
        <f aca="false">G272+H272</f>
        <v>2344913.15609714</v>
      </c>
    </row>
    <row r="273" customFormat="false" ht="15" hidden="false" customHeight="true" outlineLevel="0" collapsed="false">
      <c r="A273" s="4" t="s">
        <v>302</v>
      </c>
      <c r="B273" s="4" t="n">
        <v>263</v>
      </c>
      <c r="C273" s="24" t="n">
        <f aca="true">RAND()</f>
        <v>0.98764847155456</v>
      </c>
      <c r="D273" s="25" t="n">
        <f aca="false">IF(C273&lt;(($C$6-$B$6)/($D$6-$B$6)),$B$6+SQRT(C273*($D$6-$B$6)*($C$6-$B$6)),$D$6-SQRT((1-C273)*($D$6-$B$6)*($D$6-$C$6)))</f>
        <v>18.5942103460082</v>
      </c>
      <c r="E273" s="26" t="n">
        <f aca="true">MAX(0,$E$6+$F$6*_xlfn.NORM.S.INV(RAND()))</f>
        <v>10.4710469668356</v>
      </c>
      <c r="F273" s="27" t="n">
        <f aca="false">1/(1+EXP(-03_Inputs_Assumptions!$B$14*(E273-03_Inputs_Assumptions!$B$5)))</f>
        <v>0.0670922202704351</v>
      </c>
      <c r="G273" s="28" t="n">
        <f aca="false">D273*04_Baseline_PnL!$B$15*F273*04_Baseline_PnL!$B$14</f>
        <v>356729.795588926</v>
      </c>
      <c r="H273" s="28" t="n">
        <f aca="false">D273*03_Inputs_Assumptions!$B$13*01_Macro_Data!$B$97*($G$6-1)+D273*04_Baseline_PnL!$B$15*04_Baseline_PnL!$B$13*03_Inputs_Assumptions!$B$15*($H$6-1)</f>
        <v>2271647.24028768</v>
      </c>
      <c r="I273" s="16" t="n">
        <f aca="false">G273+H273</f>
        <v>2628377.03587661</v>
      </c>
    </row>
    <row r="274" customFormat="false" ht="15" hidden="false" customHeight="true" outlineLevel="0" collapsed="false">
      <c r="A274" s="4" t="s">
        <v>302</v>
      </c>
      <c r="B274" s="4" t="n">
        <v>264</v>
      </c>
      <c r="C274" s="24" t="n">
        <f aca="true">RAND()</f>
        <v>0.584192822823777</v>
      </c>
      <c r="D274" s="25" t="n">
        <f aca="false">IF(C274&lt;(($C$6-$B$6)/($D$6-$B$6)),$B$6+SQRT(C274*($D$6-$B$6)*($C$6-$B$6)),$D$6-SQRT((1-C274)*($D$6-$B$6)*($D$6-$C$6)))</f>
        <v>11.8434597807529</v>
      </c>
      <c r="E274" s="26" t="n">
        <f aca="true">MAX(0,$E$6+$F$6*_xlfn.NORM.S.INV(RAND()))</f>
        <v>12.7090558883404</v>
      </c>
      <c r="F274" s="27" t="n">
        <f aca="false">1/(1+EXP(-03_Inputs_Assumptions!$B$14*(E274-03_Inputs_Assumptions!$B$5)))</f>
        <v>0.111775113105407</v>
      </c>
      <c r="G274" s="28" t="n">
        <f aca="false">D274*04_Baseline_PnL!$B$15*F274*04_Baseline_PnL!$B$14</f>
        <v>378541.229884731</v>
      </c>
      <c r="H274" s="28" t="n">
        <f aca="false">D274*03_Inputs_Assumptions!$B$13*01_Macro_Data!$B$97*($G$6-1)+D274*04_Baseline_PnL!$B$15*04_Baseline_PnL!$B$13*03_Inputs_Assumptions!$B$15*($H$6-1)</f>
        <v>1446910.74403067</v>
      </c>
      <c r="I274" s="16" t="n">
        <f aca="false">G274+H274</f>
        <v>1825451.9739154</v>
      </c>
    </row>
    <row r="275" customFormat="false" ht="15" hidden="false" customHeight="true" outlineLevel="0" collapsed="false">
      <c r="A275" s="4" t="s">
        <v>302</v>
      </c>
      <c r="B275" s="4" t="n">
        <v>265</v>
      </c>
      <c r="C275" s="24" t="n">
        <f aca="true">RAND()</f>
        <v>0.402417964712618</v>
      </c>
      <c r="D275" s="25" t="n">
        <f aca="false">IF(C275&lt;(($C$6-$B$6)/($D$6-$B$6)),$B$6+SQRT(C275*($D$6-$B$6)*($C$6-$B$6)),$D$6-SQRT((1-C275)*($D$6-$B$6)*($D$6-$C$6)))</f>
        <v>10.221803558632</v>
      </c>
      <c r="E275" s="26" t="n">
        <f aca="true">MAX(0,$E$6+$F$6*_xlfn.NORM.S.INV(RAND()))</f>
        <v>8.9028323719039</v>
      </c>
      <c r="F275" s="27" t="n">
        <f aca="false">1/(1+EXP(-03_Inputs_Assumptions!$B$14*(E275-03_Inputs_Assumptions!$B$5)))</f>
        <v>0.0463404325488167</v>
      </c>
      <c r="G275" s="28" t="n">
        <f aca="false">D275*04_Baseline_PnL!$B$15*F275*04_Baseline_PnL!$B$14</f>
        <v>135449.402930719</v>
      </c>
      <c r="H275" s="28" t="n">
        <f aca="false">D275*03_Inputs_Assumptions!$B$13*01_Macro_Data!$B$97*($G$6-1)+D275*04_Baseline_PnL!$B$15*04_Baseline_PnL!$B$13*03_Inputs_Assumptions!$B$15*($H$6-1)</f>
        <v>1248793.65203665</v>
      </c>
      <c r="I275" s="16" t="n">
        <f aca="false">G275+H275</f>
        <v>1384243.05496737</v>
      </c>
    </row>
    <row r="276" customFormat="false" ht="15" hidden="false" customHeight="true" outlineLevel="0" collapsed="false">
      <c r="A276" s="4" t="s">
        <v>302</v>
      </c>
      <c r="B276" s="4" t="n">
        <v>266</v>
      </c>
      <c r="C276" s="24" t="n">
        <f aca="true">RAND()</f>
        <v>0.819898375270124</v>
      </c>
      <c r="D276" s="25" t="n">
        <f aca="false">IF(C276&lt;(($C$6-$B$6)/($D$6-$B$6)),$B$6+SQRT(C276*($D$6-$B$6)*($C$6-$B$6)),$D$6-SQRT((1-C276)*($D$6-$B$6)*($D$6-$C$6)))</f>
        <v>14.631922135738</v>
      </c>
      <c r="E276" s="26" t="n">
        <f aca="true">MAX(0,$E$6+$F$6*_xlfn.NORM.S.INV(RAND()))</f>
        <v>6.99826919807282</v>
      </c>
      <c r="F276" s="27" t="n">
        <f aca="false">1/(1+EXP(-03_Inputs_Assumptions!$B$14*(E276-03_Inputs_Assumptions!$B$5)))</f>
        <v>0.0292999216213685</v>
      </c>
      <c r="G276" s="28" t="n">
        <f aca="false">D276*04_Baseline_PnL!$B$15*F276*04_Baseline_PnL!$B$14</f>
        <v>122590.642503943</v>
      </c>
      <c r="H276" s="28" t="n">
        <f aca="false">D276*03_Inputs_Assumptions!$B$13*01_Macro_Data!$B$97*($G$6-1)+D276*04_Baseline_PnL!$B$15*04_Baseline_PnL!$B$13*03_Inputs_Assumptions!$B$15*($H$6-1)</f>
        <v>1787576.07455425</v>
      </c>
      <c r="I276" s="16" t="n">
        <f aca="false">G276+H276</f>
        <v>1910166.71705819</v>
      </c>
    </row>
    <row r="277" customFormat="false" ht="15" hidden="false" customHeight="true" outlineLevel="0" collapsed="false">
      <c r="A277" s="4" t="s">
        <v>302</v>
      </c>
      <c r="B277" s="4" t="n">
        <v>267</v>
      </c>
      <c r="C277" s="24" t="n">
        <f aca="true">RAND()</f>
        <v>0.720629142076303</v>
      </c>
      <c r="D277" s="25" t="n">
        <f aca="false">IF(C277&lt;(($C$6-$B$6)/($D$6-$B$6)),$B$6+SQRT(C277*($D$6-$B$6)*($C$6-$B$6)),$D$6-SQRT((1-C277)*($D$6-$B$6)*($D$6-$C$6)))</f>
        <v>13.3142437026323</v>
      </c>
      <c r="E277" s="26" t="n">
        <f aca="true">MAX(0,$E$6+$F$6*_xlfn.NORM.S.INV(RAND()))</f>
        <v>18.9938731428812</v>
      </c>
      <c r="F277" s="27" t="n">
        <f aca="false">1/(1+EXP(-03_Inputs_Assumptions!$B$14*(E277-03_Inputs_Assumptions!$B$5)))</f>
        <v>0.37718077783247</v>
      </c>
      <c r="G277" s="28" t="n">
        <f aca="false">D277*04_Baseline_PnL!$B$15*F277*04_Baseline_PnL!$B$14</f>
        <v>1436003.62098988</v>
      </c>
      <c r="H277" s="28" t="n">
        <f aca="false">D277*03_Inputs_Assumptions!$B$13*01_Macro_Data!$B$97*($G$6-1)+D277*04_Baseline_PnL!$B$15*04_Baseline_PnL!$B$13*03_Inputs_Assumptions!$B$15*($H$6-1)</f>
        <v>1626595.82745311</v>
      </c>
      <c r="I277" s="16" t="n">
        <f aca="false">G277+H277</f>
        <v>3062599.44844299</v>
      </c>
    </row>
    <row r="278" customFormat="false" ht="15" hidden="false" customHeight="true" outlineLevel="0" collapsed="false">
      <c r="A278" s="4" t="s">
        <v>302</v>
      </c>
      <c r="B278" s="4" t="n">
        <v>268</v>
      </c>
      <c r="C278" s="24" t="n">
        <f aca="true">RAND()</f>
        <v>0.284987515738962</v>
      </c>
      <c r="D278" s="25" t="n">
        <f aca="false">IF(C278&lt;(($C$6-$B$6)/($D$6-$B$6)),$B$6+SQRT(C278*($D$6-$B$6)*($C$6-$B$6)),$D$6-SQRT((1-C278)*($D$6-$B$6)*($D$6-$C$6)))</f>
        <v>9.23056416755787</v>
      </c>
      <c r="E278" s="26" t="n">
        <f aca="true">MAX(0,$E$6+$F$6*_xlfn.NORM.S.INV(RAND()))</f>
        <v>5.68509593462124</v>
      </c>
      <c r="F278" s="27" t="n">
        <f aca="false">1/(1+EXP(-03_Inputs_Assumptions!$B$14*(E278-03_Inputs_Assumptions!$B$5)))</f>
        <v>0.0212748337004628</v>
      </c>
      <c r="G278" s="28" t="n">
        <f aca="false">D278*04_Baseline_PnL!$B$15*F278*04_Baseline_PnL!$B$14</f>
        <v>56154.4141864844</v>
      </c>
      <c r="H278" s="28" t="n">
        <f aca="false">D278*03_Inputs_Assumptions!$B$13*01_Macro_Data!$B$97*($G$6-1)+D278*04_Baseline_PnL!$B$15*04_Baseline_PnL!$B$13*03_Inputs_Assumptions!$B$15*($H$6-1)</f>
        <v>1127694.33212488</v>
      </c>
      <c r="I278" s="16" t="n">
        <f aca="false">G278+H278</f>
        <v>1183848.74631136</v>
      </c>
    </row>
    <row r="279" customFormat="false" ht="15" hidden="false" customHeight="true" outlineLevel="0" collapsed="false">
      <c r="A279" s="4" t="s">
        <v>302</v>
      </c>
      <c r="B279" s="4" t="n">
        <v>269</v>
      </c>
      <c r="C279" s="24" t="n">
        <f aca="true">RAND()</f>
        <v>0.226436908033634</v>
      </c>
      <c r="D279" s="25" t="n">
        <f aca="false">IF(C279&lt;(($C$6-$B$6)/($D$6-$B$6)),$B$6+SQRT(C279*($D$6-$B$6)*($C$6-$B$6)),$D$6-SQRT((1-C279)*($D$6-$B$6)*($D$6-$C$6)))</f>
        <v>8.66239671963131</v>
      </c>
      <c r="E279" s="26" t="n">
        <f aca="true">MAX(0,$E$6+$F$6*_xlfn.NORM.S.INV(RAND()))</f>
        <v>5.92683378908408</v>
      </c>
      <c r="F279" s="27" t="n">
        <f aca="false">1/(1+EXP(-03_Inputs_Assumptions!$B$14*(E279-03_Inputs_Assumptions!$B$5)))</f>
        <v>0.0225702985806939</v>
      </c>
      <c r="G279" s="28" t="n">
        <f aca="false">D279*04_Baseline_PnL!$B$15*F279*04_Baseline_PnL!$B$14</f>
        <v>55906.828381025</v>
      </c>
      <c r="H279" s="28" t="n">
        <f aca="false">D279*03_Inputs_Assumptions!$B$13*01_Macro_Data!$B$97*($G$6-1)+D279*04_Baseline_PnL!$B$15*04_Baseline_PnL!$B$13*03_Inputs_Assumptions!$B$15*($H$6-1)</f>
        <v>1058281.54227867</v>
      </c>
      <c r="I279" s="16" t="n">
        <f aca="false">G279+H279</f>
        <v>1114188.37065969</v>
      </c>
    </row>
    <row r="280" customFormat="false" ht="15" hidden="false" customHeight="true" outlineLevel="0" collapsed="false">
      <c r="A280" s="4" t="s">
        <v>302</v>
      </c>
      <c r="B280" s="4" t="n">
        <v>270</v>
      </c>
      <c r="C280" s="24" t="n">
        <f aca="true">RAND()</f>
        <v>0.816891109510918</v>
      </c>
      <c r="D280" s="25" t="n">
        <f aca="false">IF(C280&lt;(($C$6-$B$6)/($D$6-$B$6)),$B$6+SQRT(C280*($D$6-$B$6)*($C$6-$B$6)),$D$6-SQRT((1-C280)*($D$6-$B$6)*($D$6-$C$6)))</f>
        <v>14.5872906527088</v>
      </c>
      <c r="E280" s="26" t="n">
        <f aca="true">MAX(0,$E$6+$F$6*_xlfn.NORM.S.INV(RAND()))</f>
        <v>9.33961446539574</v>
      </c>
      <c r="F280" s="27" t="n">
        <f aca="false">1/(1+EXP(-03_Inputs_Assumptions!$B$14*(E280-03_Inputs_Assumptions!$B$5)))</f>
        <v>0.0514123204726282</v>
      </c>
      <c r="G280" s="28" t="n">
        <f aca="false">D280*04_Baseline_PnL!$B$15*F280*04_Baseline_PnL!$B$14</f>
        <v>214452.603798243</v>
      </c>
      <c r="H280" s="28" t="n">
        <f aca="false">D280*03_Inputs_Assumptions!$B$13*01_Macro_Data!$B$97*($G$6-1)+D280*04_Baseline_PnL!$B$15*04_Baseline_PnL!$B$13*03_Inputs_Assumptions!$B$15*($H$6-1)</f>
        <v>1782123.46412518</v>
      </c>
      <c r="I280" s="16" t="n">
        <f aca="false">G280+H280</f>
        <v>1996576.06792342</v>
      </c>
    </row>
    <row r="281" customFormat="false" ht="15" hidden="false" customHeight="true" outlineLevel="0" collapsed="false">
      <c r="A281" s="4" t="s">
        <v>302</v>
      </c>
      <c r="B281" s="4" t="n">
        <v>271</v>
      </c>
      <c r="C281" s="24" t="n">
        <f aca="true">RAND()</f>
        <v>0.822100182995743</v>
      </c>
      <c r="D281" s="25" t="n">
        <f aca="false">IF(C281&lt;(($C$6-$B$6)/($D$6-$B$6)),$B$6+SQRT(C281*($D$6-$B$6)*($C$6-$B$6)),$D$6-SQRT((1-C281)*($D$6-$B$6)*($D$6-$C$6)))</f>
        <v>14.664836392323</v>
      </c>
      <c r="E281" s="26" t="n">
        <f aca="true">MAX(0,$E$6+$F$6*_xlfn.NORM.S.INV(RAND()))</f>
        <v>14.1183494922605</v>
      </c>
      <c r="F281" s="27" t="n">
        <f aca="false">1/(1+EXP(-03_Inputs_Assumptions!$B$14*(E281-03_Inputs_Assumptions!$B$5)))</f>
        <v>0.151818022336769</v>
      </c>
      <c r="G281" s="28" t="n">
        <f aca="false">D281*04_Baseline_PnL!$B$15*F281*04_Baseline_PnL!$B$14</f>
        <v>636634.299620971</v>
      </c>
      <c r="H281" s="28" t="n">
        <f aca="false">D281*03_Inputs_Assumptions!$B$13*01_Macro_Data!$B$97*($G$6-1)+D281*04_Baseline_PnL!$B$15*04_Baseline_PnL!$B$13*03_Inputs_Assumptions!$B$15*($H$6-1)</f>
        <v>1791597.19611554</v>
      </c>
      <c r="I281" s="16" t="n">
        <f aca="false">G281+H281</f>
        <v>2428231.49573651</v>
      </c>
    </row>
    <row r="282" customFormat="false" ht="15" hidden="false" customHeight="true" outlineLevel="0" collapsed="false">
      <c r="A282" s="4" t="s">
        <v>302</v>
      </c>
      <c r="B282" s="4" t="n">
        <v>272</v>
      </c>
      <c r="C282" s="24" t="n">
        <f aca="true">RAND()</f>
        <v>0.208804781179164</v>
      </c>
      <c r="D282" s="25" t="n">
        <f aca="false">IF(C282&lt;(($C$6-$B$6)/($D$6-$B$6)),$B$6+SQRT(C282*($D$6-$B$6)*($C$6-$B$6)),$D$6-SQRT((1-C282)*($D$6-$B$6)*($D$6-$C$6)))</f>
        <v>8.47719320481033</v>
      </c>
      <c r="E282" s="26" t="n">
        <f aca="true">MAX(0,$E$6+$F$6*_xlfn.NORM.S.INV(RAND()))</f>
        <v>10.2971383258073</v>
      </c>
      <c r="F282" s="27" t="n">
        <f aca="false">1/(1+EXP(-03_Inputs_Assumptions!$B$14*(E282-03_Inputs_Assumptions!$B$5)))</f>
        <v>0.0644216330591651</v>
      </c>
      <c r="G282" s="28" t="n">
        <f aca="false">D282*04_Baseline_PnL!$B$15*F282*04_Baseline_PnL!$B$14</f>
        <v>156161.255647647</v>
      </c>
      <c r="H282" s="28" t="n">
        <f aca="false">D282*03_Inputs_Assumptions!$B$13*01_Macro_Data!$B$97*($G$6-1)+D282*04_Baseline_PnL!$B$15*04_Baseline_PnL!$B$13*03_Inputs_Assumptions!$B$15*($H$6-1)</f>
        <v>1035655.3029544</v>
      </c>
      <c r="I282" s="16" t="n">
        <f aca="false">G282+H282</f>
        <v>1191816.55860204</v>
      </c>
    </row>
    <row r="283" customFormat="false" ht="15" hidden="false" customHeight="true" outlineLevel="0" collapsed="false">
      <c r="A283" s="4" t="s">
        <v>302</v>
      </c>
      <c r="B283" s="4" t="n">
        <v>273</v>
      </c>
      <c r="C283" s="24" t="n">
        <f aca="true">RAND()</f>
        <v>0.376899765135285</v>
      </c>
      <c r="D283" s="25" t="n">
        <f aca="false">IF(C283&lt;(($C$6-$B$6)/($D$6-$B$6)),$B$6+SQRT(C283*($D$6-$B$6)*($C$6-$B$6)),$D$6-SQRT((1-C283)*($D$6-$B$6)*($D$6-$C$6)))</f>
        <v>10.0152096878124</v>
      </c>
      <c r="E283" s="26" t="n">
        <f aca="true">MAX(0,$E$6+$F$6*_xlfn.NORM.S.INV(RAND()))</f>
        <v>18.9744805429845</v>
      </c>
      <c r="F283" s="27" t="n">
        <f aca="false">1/(1+EXP(-03_Inputs_Assumptions!$B$14*(E283-03_Inputs_Assumptions!$B$5)))</f>
        <v>0.376042552535735</v>
      </c>
      <c r="G283" s="28" t="n">
        <f aca="false">D283*04_Baseline_PnL!$B$15*F283*04_Baseline_PnL!$B$14</f>
        <v>1076927.63057759</v>
      </c>
      <c r="H283" s="28" t="n">
        <f aca="false">D283*03_Inputs_Assumptions!$B$13*01_Macro_Data!$B$97*($G$6-1)+D283*04_Baseline_PnL!$B$15*04_Baseline_PnL!$B$13*03_Inputs_Assumptions!$B$15*($H$6-1)</f>
        <v>1223554.16147617</v>
      </c>
      <c r="I283" s="16" t="n">
        <f aca="false">G283+H283</f>
        <v>2300481.79205376</v>
      </c>
    </row>
    <row r="284" customFormat="false" ht="15" hidden="false" customHeight="true" outlineLevel="0" collapsed="false">
      <c r="A284" s="4" t="s">
        <v>302</v>
      </c>
      <c r="B284" s="4" t="n">
        <v>274</v>
      </c>
      <c r="C284" s="24" t="n">
        <f aca="true">RAND()</f>
        <v>0.358784321123894</v>
      </c>
      <c r="D284" s="25" t="n">
        <f aca="false">IF(C284&lt;(($C$6-$B$6)/($D$6-$B$6)),$B$6+SQRT(C284*($D$6-$B$6)*($C$6-$B$6)),$D$6-SQRT((1-C284)*($D$6-$B$6)*($D$6-$C$6)))</f>
        <v>9.86884101232039</v>
      </c>
      <c r="E284" s="26" t="n">
        <f aca="true">MAX(0,$E$6+$F$6*_xlfn.NORM.S.INV(RAND()))</f>
        <v>6.45111236767281</v>
      </c>
      <c r="F284" s="27" t="n">
        <f aca="false">1/(1+EXP(-03_Inputs_Assumptions!$B$14*(E284-03_Inputs_Assumptions!$B$5)))</f>
        <v>0.0256501275176747</v>
      </c>
      <c r="G284" s="28" t="n">
        <f aca="false">D284*04_Baseline_PnL!$B$15*F284*04_Baseline_PnL!$B$14</f>
        <v>72384.4305728941</v>
      </c>
      <c r="H284" s="28" t="n">
        <f aca="false">D284*03_Inputs_Assumptions!$B$13*01_Macro_Data!$B$97*($G$6-1)+D284*04_Baseline_PnL!$B$15*04_Baseline_PnL!$B$13*03_Inputs_Assumptions!$B$15*($H$6-1)</f>
        <v>1205672.35893878</v>
      </c>
      <c r="I284" s="16" t="n">
        <f aca="false">G284+H284</f>
        <v>1278056.78951167</v>
      </c>
    </row>
    <row r="285" customFormat="false" ht="15" hidden="false" customHeight="true" outlineLevel="0" collapsed="false">
      <c r="A285" s="4" t="s">
        <v>302</v>
      </c>
      <c r="B285" s="4" t="n">
        <v>275</v>
      </c>
      <c r="C285" s="24" t="n">
        <f aca="true">RAND()</f>
        <v>0.407715549647204</v>
      </c>
      <c r="D285" s="25" t="n">
        <f aca="false">IF(C285&lt;(($C$6-$B$6)/($D$6-$B$6)),$B$6+SQRT(C285*($D$6-$B$6)*($C$6-$B$6)),$D$6-SQRT((1-C285)*($D$6-$B$6)*($D$6-$C$6)))</f>
        <v>10.2652420648253</v>
      </c>
      <c r="E285" s="26" t="n">
        <f aca="true">MAX(0,$E$6+$F$6*_xlfn.NORM.S.INV(RAND()))</f>
        <v>11.5588322324269</v>
      </c>
      <c r="F285" s="27" t="n">
        <f aca="false">1/(1+EXP(-03_Inputs_Assumptions!$B$14*(E285-03_Inputs_Assumptions!$B$5)))</f>
        <v>0.0862511832163865</v>
      </c>
      <c r="G285" s="28" t="n">
        <f aca="false">D285*04_Baseline_PnL!$B$15*F285*04_Baseline_PnL!$B$14</f>
        <v>253176.701705326</v>
      </c>
      <c r="H285" s="28" t="n">
        <f aca="false">D285*03_Inputs_Assumptions!$B$13*01_Macro_Data!$B$97*($G$6-1)+D285*04_Baseline_PnL!$B$15*04_Baseline_PnL!$B$13*03_Inputs_Assumptions!$B$15*($H$6-1)</f>
        <v>1254100.51696288</v>
      </c>
      <c r="I285" s="16" t="n">
        <f aca="false">G285+H285</f>
        <v>1507277.2186682</v>
      </c>
    </row>
    <row r="286" customFormat="false" ht="15" hidden="false" customHeight="true" outlineLevel="0" collapsed="false">
      <c r="A286" s="4" t="s">
        <v>302</v>
      </c>
      <c r="B286" s="4" t="n">
        <v>276</v>
      </c>
      <c r="C286" s="24" t="n">
        <f aca="true">RAND()</f>
        <v>0.867557337876589</v>
      </c>
      <c r="D286" s="25" t="n">
        <f aca="false">IF(C286&lt;(($C$6-$B$6)/($D$6-$B$6)),$B$6+SQRT(C286*($D$6-$B$6)*($C$6-$B$6)),$D$6-SQRT((1-C286)*($D$6-$B$6)*($D$6-$C$6)))</f>
        <v>15.3966505737946</v>
      </c>
      <c r="E286" s="26" t="n">
        <f aca="true">MAX(0,$E$6+$F$6*_xlfn.NORM.S.INV(RAND()))</f>
        <v>18.7578767218664</v>
      </c>
      <c r="F286" s="27" t="n">
        <f aca="false">1/(1+EXP(-03_Inputs_Assumptions!$B$14*(E286-03_Inputs_Assumptions!$B$5)))</f>
        <v>0.363424647219362</v>
      </c>
      <c r="G286" s="28" t="n">
        <f aca="false">D286*04_Baseline_PnL!$B$15*F286*04_Baseline_PnL!$B$14</f>
        <v>1600037.3197177</v>
      </c>
      <c r="H286" s="28" t="n">
        <f aca="false">D286*03_Inputs_Assumptions!$B$13*01_Macro_Data!$B$97*($G$6-1)+D286*04_Baseline_PnL!$B$15*04_Baseline_PnL!$B$13*03_Inputs_Assumptions!$B$15*($H$6-1)</f>
        <v>1881002.64194026</v>
      </c>
      <c r="I286" s="16" t="n">
        <f aca="false">G286+H286</f>
        <v>3481039.96165795</v>
      </c>
    </row>
    <row r="287" customFormat="false" ht="15" hidden="false" customHeight="true" outlineLevel="0" collapsed="false">
      <c r="A287" s="4" t="s">
        <v>302</v>
      </c>
      <c r="B287" s="4" t="n">
        <v>277</v>
      </c>
      <c r="C287" s="24" t="n">
        <f aca="true">RAND()</f>
        <v>0.928266556744025</v>
      </c>
      <c r="D287" s="25" t="n">
        <f aca="false">IF(C287&lt;(($C$6-$B$6)/($D$6-$B$6)),$B$6+SQRT(C287*($D$6-$B$6)*($C$6-$B$6)),$D$6-SQRT((1-C287)*($D$6-$B$6)*($D$6-$C$6)))</f>
        <v>16.6121760788146</v>
      </c>
      <c r="E287" s="26" t="n">
        <f aca="true">MAX(0,$E$6+$F$6*_xlfn.NORM.S.INV(RAND()))</f>
        <v>14.3006276224018</v>
      </c>
      <c r="F287" s="27" t="n">
        <f aca="false">1/(1+EXP(-03_Inputs_Assumptions!$B$14*(E287-03_Inputs_Assumptions!$B$5)))</f>
        <v>0.157779536324314</v>
      </c>
      <c r="G287" s="28" t="n">
        <f aca="false">D287*04_Baseline_PnL!$B$15*F287*04_Baseline_PnL!$B$14</f>
        <v>749491.44915461</v>
      </c>
      <c r="H287" s="28" t="n">
        <f aca="false">D287*03_Inputs_Assumptions!$B$13*01_Macro_Data!$B$97*($G$6-1)+D287*04_Baseline_PnL!$B$15*04_Baseline_PnL!$B$13*03_Inputs_Assumptions!$B$15*($H$6-1)</f>
        <v>2029502.90667835</v>
      </c>
      <c r="I287" s="16" t="n">
        <f aca="false">G287+H287</f>
        <v>2778994.35583296</v>
      </c>
    </row>
    <row r="288" customFormat="false" ht="15" hidden="false" customHeight="true" outlineLevel="0" collapsed="false">
      <c r="A288" s="4" t="s">
        <v>302</v>
      </c>
      <c r="B288" s="4" t="n">
        <v>278</v>
      </c>
      <c r="C288" s="24" t="n">
        <f aca="true">RAND()</f>
        <v>0.079017113364427</v>
      </c>
      <c r="D288" s="25" t="n">
        <f aca="false">IF(C288&lt;(($C$6-$B$6)/($D$6-$B$6)),$B$6+SQRT(C288*($D$6-$B$6)*($C$6-$B$6)),$D$6-SQRT((1-C288)*($D$6-$B$6)*($D$6-$C$6)))</f>
        <v>6.75420458263089</v>
      </c>
      <c r="E288" s="26" t="n">
        <f aca="true">MAX(0,$E$6+$F$6*_xlfn.NORM.S.INV(RAND()))</f>
        <v>14.4232609212129</v>
      </c>
      <c r="F288" s="27" t="n">
        <f aca="false">1/(1+EXP(-03_Inputs_Assumptions!$B$14*(E288-03_Inputs_Assumptions!$B$5)))</f>
        <v>0.161896444279861</v>
      </c>
      <c r="G288" s="28" t="n">
        <f aca="false">D288*04_Baseline_PnL!$B$15*F288*04_Baseline_PnL!$B$14</f>
        <v>312680.647673071</v>
      </c>
      <c r="H288" s="28" t="n">
        <f aca="false">D288*03_Inputs_Assumptions!$B$13*01_Macro_Data!$B$97*($G$6-1)+D288*04_Baseline_PnL!$B$15*04_Baseline_PnL!$B$13*03_Inputs_Assumptions!$B$15*($H$6-1)</f>
        <v>825158.472178183</v>
      </c>
      <c r="I288" s="16" t="n">
        <f aca="false">G288+H288</f>
        <v>1137839.11985125</v>
      </c>
    </row>
    <row r="289" customFormat="false" ht="15" hidden="false" customHeight="true" outlineLevel="0" collapsed="false">
      <c r="A289" s="4" t="s">
        <v>302</v>
      </c>
      <c r="B289" s="4" t="n">
        <v>279</v>
      </c>
      <c r="C289" s="24" t="n">
        <f aca="true">RAND()</f>
        <v>0.0881368963758819</v>
      </c>
      <c r="D289" s="25" t="n">
        <f aca="false">IF(C289&lt;(($C$6-$B$6)/($D$6-$B$6)),$B$6+SQRT(C289*($D$6-$B$6)*($C$6-$B$6)),$D$6-SQRT((1-C289)*($D$6-$B$6)*($D$6-$C$6)))</f>
        <v>6.90880423062204</v>
      </c>
      <c r="E289" s="26" t="n">
        <f aca="true">MAX(0,$E$6+$F$6*_xlfn.NORM.S.INV(RAND()))</f>
        <v>6.2209659855803</v>
      </c>
      <c r="F289" s="27" t="n">
        <f aca="false">1/(1+EXP(-03_Inputs_Assumptions!$B$14*(E289-03_Inputs_Assumptions!$B$5)))</f>
        <v>0.0242507402764437</v>
      </c>
      <c r="G289" s="28" t="n">
        <f aca="false">D289*04_Baseline_PnL!$B$15*F289*04_Baseline_PnL!$B$14</f>
        <v>47909.028931612</v>
      </c>
      <c r="H289" s="28" t="n">
        <f aca="false">D289*03_Inputs_Assumptions!$B$13*01_Macro_Data!$B$97*($G$6-1)+D289*04_Baseline_PnL!$B$15*04_Baseline_PnL!$B$13*03_Inputs_Assumptions!$B$15*($H$6-1)</f>
        <v>844045.849333402</v>
      </c>
      <c r="I289" s="16" t="n">
        <f aca="false">G289+H289</f>
        <v>891954.878265014</v>
      </c>
    </row>
    <row r="290" customFormat="false" ht="15" hidden="false" customHeight="true" outlineLevel="0" collapsed="false">
      <c r="A290" s="4" t="s">
        <v>302</v>
      </c>
      <c r="B290" s="4" t="n">
        <v>280</v>
      </c>
      <c r="C290" s="24" t="n">
        <f aca="true">RAND()</f>
        <v>0.238129021023407</v>
      </c>
      <c r="D290" s="25" t="n">
        <f aca="false">IF(C290&lt;(($C$6-$B$6)/($D$6-$B$6)),$B$6+SQRT(C290*($D$6-$B$6)*($C$6-$B$6)),$D$6-SQRT((1-C290)*($D$6-$B$6)*($D$6-$C$6)))</f>
        <v>8.78125360321402</v>
      </c>
      <c r="E290" s="26" t="n">
        <f aca="true">MAX(0,$E$6+$F$6*_xlfn.NORM.S.INV(RAND()))</f>
        <v>13.4837096519697</v>
      </c>
      <c r="F290" s="27" t="n">
        <f aca="false">1/(1+EXP(-03_Inputs_Assumptions!$B$14*(E290-03_Inputs_Assumptions!$B$5)))</f>
        <v>0.132495434430455</v>
      </c>
      <c r="G290" s="28" t="n">
        <f aca="false">D290*04_Baseline_PnL!$B$15*F290*04_Baseline_PnL!$B$14</f>
        <v>332695.490670138</v>
      </c>
      <c r="H290" s="28" t="n">
        <f aca="false">D290*03_Inputs_Assumptions!$B$13*01_Macro_Data!$B$97*($G$6-1)+D290*04_Baseline_PnL!$B$15*04_Baseline_PnL!$B$13*03_Inputs_Assumptions!$B$15*($H$6-1)</f>
        <v>1072802.24020322</v>
      </c>
      <c r="I290" s="16" t="n">
        <f aca="false">G290+H290</f>
        <v>1405497.73087335</v>
      </c>
    </row>
    <row r="291" customFormat="false" ht="15" hidden="false" customHeight="true" outlineLevel="0" collapsed="false">
      <c r="A291" s="4" t="s">
        <v>302</v>
      </c>
      <c r="B291" s="4" t="n">
        <v>281</v>
      </c>
      <c r="C291" s="24" t="n">
        <f aca="true">RAND()</f>
        <v>0.561556028021272</v>
      </c>
      <c r="D291" s="25" t="n">
        <f aca="false">IF(C291&lt;(($C$6-$B$6)/($D$6-$B$6)),$B$6+SQRT(C291*($D$6-$B$6)*($C$6-$B$6)),$D$6-SQRT((1-C291)*($D$6-$B$6)*($D$6-$C$6)))</f>
        <v>11.6243784996816</v>
      </c>
      <c r="E291" s="26" t="n">
        <f aca="true">MAX(0,$E$6+$F$6*_xlfn.NORM.S.INV(RAND()))</f>
        <v>13.9047879016066</v>
      </c>
      <c r="F291" s="27" t="n">
        <f aca="false">1/(1+EXP(-03_Inputs_Assumptions!$B$14*(E291-03_Inputs_Assumptions!$B$5)))</f>
        <v>0.145070022955849</v>
      </c>
      <c r="G291" s="28" t="n">
        <f aca="false">D291*04_Baseline_PnL!$B$15*F291*04_Baseline_PnL!$B$14</f>
        <v>482210.767317043</v>
      </c>
      <c r="H291" s="28" t="n">
        <f aca="false">D291*03_Inputs_Assumptions!$B$13*01_Macro_Data!$B$97*($G$6-1)+D291*04_Baseline_PnL!$B$15*04_Baseline_PnL!$B$13*03_Inputs_Assumptions!$B$15*($H$6-1)</f>
        <v>1420145.6715547</v>
      </c>
      <c r="I291" s="16" t="n">
        <f aca="false">G291+H291</f>
        <v>1902356.43887174</v>
      </c>
    </row>
    <row r="292" customFormat="false" ht="15" hidden="false" customHeight="true" outlineLevel="0" collapsed="false">
      <c r="A292" s="4" t="s">
        <v>302</v>
      </c>
      <c r="B292" s="4" t="n">
        <v>282</v>
      </c>
      <c r="C292" s="24" t="n">
        <f aca="true">RAND()</f>
        <v>0.104917034980625</v>
      </c>
      <c r="D292" s="25" t="n">
        <f aca="false">IF(C292&lt;(($C$6-$B$6)/($D$6-$B$6)),$B$6+SQRT(C292*($D$6-$B$6)*($C$6-$B$6)),$D$6-SQRT((1-C292)*($D$6-$B$6)*($D$6-$C$6)))</f>
        <v>7.17364701221481</v>
      </c>
      <c r="E292" s="26" t="n">
        <f aca="true">MAX(0,$E$6+$F$6*_xlfn.NORM.S.INV(RAND()))</f>
        <v>18.8846820022482</v>
      </c>
      <c r="F292" s="27" t="n">
        <f aca="false">1/(1+EXP(-03_Inputs_Assumptions!$B$14*(E292-03_Inputs_Assumptions!$B$5)))</f>
        <v>0.370789930056592</v>
      </c>
      <c r="G292" s="28" t="n">
        <f aca="false">D292*04_Baseline_PnL!$B$15*F292*04_Baseline_PnL!$B$14</f>
        <v>760601.916139904</v>
      </c>
      <c r="H292" s="28" t="n">
        <f aca="false">D292*03_Inputs_Assumptions!$B$13*01_Macro_Data!$B$97*($G$6-1)+D292*04_Baseline_PnL!$B$15*04_Baseline_PnL!$B$13*03_Inputs_Assumptions!$B$15*($H$6-1)</f>
        <v>876401.586023479</v>
      </c>
      <c r="I292" s="16" t="n">
        <f aca="false">G292+H292</f>
        <v>1637003.50216338</v>
      </c>
    </row>
    <row r="293" customFormat="false" ht="15" hidden="false" customHeight="true" outlineLevel="0" collapsed="false">
      <c r="A293" s="4" t="s">
        <v>302</v>
      </c>
      <c r="B293" s="4" t="n">
        <v>283</v>
      </c>
      <c r="C293" s="24" t="n">
        <f aca="true">RAND()</f>
        <v>0.896705432990337</v>
      </c>
      <c r="D293" s="25" t="n">
        <f aca="false">IF(C293&lt;(($C$6-$B$6)/($D$6-$B$6)),$B$6+SQRT(C293*($D$6-$B$6)*($C$6-$B$6)),$D$6-SQRT((1-C293)*($D$6-$B$6)*($D$6-$C$6)))</f>
        <v>15.9346426083865</v>
      </c>
      <c r="E293" s="26" t="n">
        <f aca="true">MAX(0,$E$6+$F$6*_xlfn.NORM.S.INV(RAND()))</f>
        <v>9.7102985882509</v>
      </c>
      <c r="F293" s="27" t="n">
        <f aca="false">1/(1+EXP(-03_Inputs_Assumptions!$B$14*(E293-03_Inputs_Assumptions!$B$5)))</f>
        <v>0.0561243136136384</v>
      </c>
      <c r="G293" s="28" t="n">
        <f aca="false">D293*04_Baseline_PnL!$B$15*F293*04_Baseline_PnL!$B$14</f>
        <v>255730.690505585</v>
      </c>
      <c r="H293" s="28" t="n">
        <f aca="false">D293*03_Inputs_Assumptions!$B$13*01_Macro_Data!$B$97*($G$6-1)+D293*04_Baseline_PnL!$B$15*04_Baseline_PnL!$B$13*03_Inputs_Assumptions!$B$15*($H$6-1)</f>
        <v>1946728.91360954</v>
      </c>
      <c r="I293" s="16" t="n">
        <f aca="false">G293+H293</f>
        <v>2202459.60411513</v>
      </c>
    </row>
    <row r="294" customFormat="false" ht="15" hidden="false" customHeight="true" outlineLevel="0" collapsed="false">
      <c r="A294" s="4" t="s">
        <v>302</v>
      </c>
      <c r="B294" s="4" t="n">
        <v>284</v>
      </c>
      <c r="C294" s="24" t="n">
        <f aca="true">RAND()</f>
        <v>0.754937254559367</v>
      </c>
      <c r="D294" s="25" t="n">
        <f aca="false">IF(C294&lt;(($C$6-$B$6)/($D$6-$B$6)),$B$6+SQRT(C294*($D$6-$B$6)*($C$6-$B$6)),$D$6-SQRT((1-C294)*($D$6-$B$6)*($D$6-$C$6)))</f>
        <v>13.7382079824941</v>
      </c>
      <c r="E294" s="26" t="n">
        <f aca="true">MAX(0,$E$6+$F$6*_xlfn.NORM.S.INV(RAND()))</f>
        <v>14.1846314285303</v>
      </c>
      <c r="F294" s="27" t="n">
        <f aca="false">1/(1+EXP(-03_Inputs_Assumptions!$B$14*(E294-03_Inputs_Assumptions!$B$5)))</f>
        <v>0.153964125071252</v>
      </c>
      <c r="G294" s="28" t="n">
        <f aca="false">D294*04_Baseline_PnL!$B$15*F294*04_Baseline_PnL!$B$14</f>
        <v>604838.05269655</v>
      </c>
      <c r="H294" s="28" t="n">
        <f aca="false">D294*03_Inputs_Assumptions!$B$13*01_Macro_Data!$B$97*($G$6-1)+D294*04_Baseline_PnL!$B$15*04_Baseline_PnL!$B$13*03_Inputs_Assumptions!$B$15*($H$6-1)</f>
        <v>1678391.37393811</v>
      </c>
      <c r="I294" s="16" t="n">
        <f aca="false">G294+H294</f>
        <v>2283229.42663466</v>
      </c>
    </row>
    <row r="295" customFormat="false" ht="15" hidden="false" customHeight="true" outlineLevel="0" collapsed="false">
      <c r="A295" s="4" t="s">
        <v>302</v>
      </c>
      <c r="B295" s="4" t="n">
        <v>285</v>
      </c>
      <c r="C295" s="24" t="n">
        <f aca="true">RAND()</f>
        <v>0.486280362086485</v>
      </c>
      <c r="D295" s="25" t="n">
        <f aca="false">IF(C295&lt;(($C$6-$B$6)/($D$6-$B$6)),$B$6+SQRT(C295*($D$6-$B$6)*($C$6-$B$6)),$D$6-SQRT((1-C295)*($D$6-$B$6)*($D$6-$C$6)))</f>
        <v>10.9338463466494</v>
      </c>
      <c r="E295" s="26" t="n">
        <f aca="true">MAX(0,$E$6+$F$6*_xlfn.NORM.S.INV(RAND()))</f>
        <v>11.2981088067676</v>
      </c>
      <c r="F295" s="27" t="n">
        <f aca="false">1/(1+EXP(-03_Inputs_Assumptions!$B$14*(E295-03_Inputs_Assumptions!$B$5)))</f>
        <v>0.0812507786619319</v>
      </c>
      <c r="G295" s="28" t="n">
        <f aca="false">D295*04_Baseline_PnL!$B$15*F295*04_Baseline_PnL!$B$14</f>
        <v>254032.907798595</v>
      </c>
      <c r="H295" s="28" t="n">
        <f aca="false">D295*03_Inputs_Assumptions!$B$13*01_Macro_Data!$B$97*($G$6-1)+D295*04_Baseline_PnL!$B$15*04_Baseline_PnL!$B$13*03_Inputs_Assumptions!$B$15*($H$6-1)</f>
        <v>1335783.63463162</v>
      </c>
      <c r="I295" s="16" t="n">
        <f aca="false">G295+H295</f>
        <v>1589816.54243021</v>
      </c>
    </row>
    <row r="296" customFormat="false" ht="15" hidden="false" customHeight="true" outlineLevel="0" collapsed="false">
      <c r="A296" s="4" t="s">
        <v>302</v>
      </c>
      <c r="B296" s="4" t="n">
        <v>286</v>
      </c>
      <c r="C296" s="24" t="n">
        <f aca="true">RAND()</f>
        <v>0.583160715163554</v>
      </c>
      <c r="D296" s="25" t="n">
        <f aca="false">IF(C296&lt;(($C$6-$B$6)/($D$6-$B$6)),$B$6+SQRT(C296*($D$6-$B$6)*($C$6-$B$6)),$D$6-SQRT((1-C296)*($D$6-$B$6)*($D$6-$C$6)))</f>
        <v>11.8333430601114</v>
      </c>
      <c r="E296" s="26" t="n">
        <f aca="true">MAX(0,$E$6+$F$6*_xlfn.NORM.S.INV(RAND()))</f>
        <v>6.63308301848708</v>
      </c>
      <c r="F296" s="27" t="n">
        <f aca="false">1/(1+EXP(-03_Inputs_Assumptions!$B$14*(E296-03_Inputs_Assumptions!$B$5)))</f>
        <v>0.0268119605081792</v>
      </c>
      <c r="G296" s="28" t="n">
        <f aca="false">D296*04_Baseline_PnL!$B$15*F296*04_Baseline_PnL!$B$14</f>
        <v>90724.6930684376</v>
      </c>
      <c r="H296" s="28" t="n">
        <f aca="false">D296*03_Inputs_Assumptions!$B$13*01_Macro_Data!$B$97*($G$6-1)+D296*04_Baseline_PnL!$B$15*04_Baseline_PnL!$B$13*03_Inputs_Assumptions!$B$15*($H$6-1)</f>
        <v>1445674.78831658</v>
      </c>
      <c r="I296" s="16" t="n">
        <f aca="false">G296+H296</f>
        <v>1536399.48138502</v>
      </c>
    </row>
    <row r="297" customFormat="false" ht="15" hidden="false" customHeight="true" outlineLevel="0" collapsed="false">
      <c r="A297" s="4" t="s">
        <v>302</v>
      </c>
      <c r="B297" s="4" t="n">
        <v>287</v>
      </c>
      <c r="C297" s="24" t="n">
        <f aca="true">RAND()</f>
        <v>0.838527293272263</v>
      </c>
      <c r="D297" s="25" t="n">
        <f aca="false">IF(C297&lt;(($C$6-$B$6)/($D$6-$B$6)),$B$6+SQRT(C297*($D$6-$B$6)*($C$6-$B$6)),$D$6-SQRT((1-C297)*($D$6-$B$6)*($D$6-$C$6)))</f>
        <v>14.9171235430676</v>
      </c>
      <c r="E297" s="26" t="n">
        <f aca="true">MAX(0,$E$6+$F$6*_xlfn.NORM.S.INV(RAND()))</f>
        <v>20.7872903544488</v>
      </c>
      <c r="F297" s="27" t="n">
        <f aca="false">1/(1+EXP(-03_Inputs_Assumptions!$B$14*(E297-03_Inputs_Assumptions!$B$5)))</f>
        <v>0.48670877912271</v>
      </c>
      <c r="G297" s="28" t="n">
        <f aca="false">D297*04_Baseline_PnL!$B$15*F297*04_Baseline_PnL!$B$14</f>
        <v>2076078.38966323</v>
      </c>
      <c r="H297" s="28" t="n">
        <f aca="false">D297*03_Inputs_Assumptions!$B$13*01_Macro_Data!$B$97*($G$6-1)+D297*04_Baseline_PnL!$B$15*04_Baseline_PnL!$B$13*03_Inputs_Assumptions!$B$15*($H$6-1)</f>
        <v>1822419.01640715</v>
      </c>
      <c r="I297" s="16" t="n">
        <f aca="false">G297+H297</f>
        <v>3898497.40607038</v>
      </c>
    </row>
    <row r="298" customFormat="false" ht="15" hidden="false" customHeight="true" outlineLevel="0" collapsed="false">
      <c r="A298" s="4" t="s">
        <v>302</v>
      </c>
      <c r="B298" s="4" t="n">
        <v>288</v>
      </c>
      <c r="C298" s="24" t="n">
        <f aca="true">RAND()</f>
        <v>0.131722297888074</v>
      </c>
      <c r="D298" s="25" t="n">
        <f aca="false">IF(C298&lt;(($C$6-$B$6)/($D$6-$B$6)),$B$6+SQRT(C298*($D$6-$B$6)*($C$6-$B$6)),$D$6-SQRT((1-C298)*($D$6-$B$6)*($D$6-$C$6)))</f>
        <v>7.55602876777665</v>
      </c>
      <c r="E298" s="26" t="n">
        <f aca="true">MAX(0,$E$6+$F$6*_xlfn.NORM.S.INV(RAND()))</f>
        <v>15.5405722317833</v>
      </c>
      <c r="F298" s="27" t="n">
        <f aca="false">1/(1+EXP(-03_Inputs_Assumptions!$B$14*(E298-03_Inputs_Assumptions!$B$5)))</f>
        <v>0.203452055798489</v>
      </c>
      <c r="G298" s="28" t="n">
        <f aca="false">D298*04_Baseline_PnL!$B$15*F298*04_Baseline_PnL!$B$14</f>
        <v>439587.33006842</v>
      </c>
      <c r="H298" s="28" t="n">
        <f aca="false">D298*03_Inputs_Assumptions!$B$13*01_Macro_Data!$B$97*($G$6-1)+D298*04_Baseline_PnL!$B$15*04_Baseline_PnL!$B$13*03_Inputs_Assumptions!$B$15*($H$6-1)</f>
        <v>923117.012147766</v>
      </c>
      <c r="I298" s="16" t="n">
        <f aca="false">G298+H298</f>
        <v>1362704.34221619</v>
      </c>
    </row>
    <row r="299" customFormat="false" ht="15" hidden="false" customHeight="true" outlineLevel="0" collapsed="false">
      <c r="A299" s="4" t="s">
        <v>302</v>
      </c>
      <c r="B299" s="4" t="n">
        <v>289</v>
      </c>
      <c r="C299" s="24" t="n">
        <f aca="true">RAND()</f>
        <v>0.672454297609534</v>
      </c>
      <c r="D299" s="25" t="n">
        <f aca="false">IF(C299&lt;(($C$6-$B$6)/($D$6-$B$6)),$B$6+SQRT(C299*($D$6-$B$6)*($C$6-$B$6)),$D$6-SQRT((1-C299)*($D$6-$B$6)*($D$6-$C$6)))</f>
        <v>12.7607105056867</v>
      </c>
      <c r="E299" s="26" t="n">
        <f aca="true">MAX(0,$E$6+$F$6*_xlfn.NORM.S.INV(RAND()))</f>
        <v>12.7655173668229</v>
      </c>
      <c r="F299" s="27" t="n">
        <f aca="false">1/(1+EXP(-03_Inputs_Assumptions!$B$14*(E299-03_Inputs_Assumptions!$B$5)))</f>
        <v>0.113184205631265</v>
      </c>
      <c r="G299" s="28" t="n">
        <f aca="false">D299*04_Baseline_PnL!$B$15*F299*04_Baseline_PnL!$B$14</f>
        <v>413000.107421576</v>
      </c>
      <c r="H299" s="28" t="n">
        <f aca="false">D299*03_Inputs_Assumptions!$B$13*01_Macro_Data!$B$97*($G$6-1)+D299*04_Baseline_PnL!$B$15*04_Baseline_PnL!$B$13*03_Inputs_Assumptions!$B$15*($H$6-1)</f>
        <v>1558970.89819555</v>
      </c>
      <c r="I299" s="16" t="n">
        <f aca="false">G299+H299</f>
        <v>1971971.00561712</v>
      </c>
    </row>
    <row r="300" customFormat="false" ht="15" hidden="false" customHeight="true" outlineLevel="0" collapsed="false">
      <c r="A300" s="4" t="s">
        <v>302</v>
      </c>
      <c r="B300" s="4" t="n">
        <v>290</v>
      </c>
      <c r="C300" s="24" t="n">
        <f aca="true">RAND()</f>
        <v>0.0823733933460949</v>
      </c>
      <c r="D300" s="25" t="n">
        <f aca="false">IF(C300&lt;(($C$6-$B$6)/($D$6-$B$6)),$B$6+SQRT(C300*($D$6-$B$6)*($C$6-$B$6)),$D$6-SQRT((1-C300)*($D$6-$B$6)*($D$6-$C$6)))</f>
        <v>6.81208921644124</v>
      </c>
      <c r="E300" s="26" t="n">
        <f aca="true">MAX(0,$E$6+$F$6*_xlfn.NORM.S.INV(RAND()))</f>
        <v>13.5255772029669</v>
      </c>
      <c r="F300" s="27" t="n">
        <f aca="false">1/(1+EXP(-03_Inputs_Assumptions!$B$14*(E300-03_Inputs_Assumptions!$B$5)))</f>
        <v>0.13370313719394</v>
      </c>
      <c r="G300" s="28" t="n">
        <f aca="false">D300*04_Baseline_PnL!$B$15*F300*04_Baseline_PnL!$B$14</f>
        <v>260442.230464896</v>
      </c>
      <c r="H300" s="28" t="n">
        <f aca="false">D300*03_Inputs_Assumptions!$B$13*01_Macro_Data!$B$97*($G$6-1)+D300*04_Baseline_PnL!$B$15*04_Baseline_PnL!$B$13*03_Inputs_Assumptions!$B$15*($H$6-1)</f>
        <v>832230.21473694</v>
      </c>
      <c r="I300" s="16" t="n">
        <f aca="false">G300+H300</f>
        <v>1092672.44520184</v>
      </c>
    </row>
    <row r="301" customFormat="false" ht="15" hidden="false" customHeight="true" outlineLevel="0" collapsed="false">
      <c r="A301" s="4" t="s">
        <v>302</v>
      </c>
      <c r="B301" s="4" t="n">
        <v>291</v>
      </c>
      <c r="C301" s="24" t="n">
        <f aca="true">RAND()</f>
        <v>0.716969067667377</v>
      </c>
      <c r="D301" s="25" t="n">
        <f aca="false">IF(C301&lt;(($C$6-$B$6)/($D$6-$B$6)),$B$6+SQRT(C301*($D$6-$B$6)*($C$6-$B$6)),$D$6-SQRT((1-C301)*($D$6-$B$6)*($D$6-$C$6)))</f>
        <v>13.2705907262807</v>
      </c>
      <c r="E301" s="26" t="n">
        <f aca="true">MAX(0,$E$6+$F$6*_xlfn.NORM.S.INV(RAND()))</f>
        <v>8.42938607253173</v>
      </c>
      <c r="F301" s="27" t="n">
        <f aca="false">1/(1+EXP(-03_Inputs_Assumptions!$B$14*(E301-03_Inputs_Assumptions!$B$5)))</f>
        <v>0.0413817293907298</v>
      </c>
      <c r="G301" s="28" t="n">
        <f aca="false">D301*04_Baseline_PnL!$B$15*F301*04_Baseline_PnL!$B$14</f>
        <v>157032.07632053</v>
      </c>
      <c r="H301" s="28" t="n">
        <f aca="false">D301*03_Inputs_Assumptions!$B$13*01_Macro_Data!$B$97*($G$6-1)+D301*04_Baseline_PnL!$B$15*04_Baseline_PnL!$B$13*03_Inputs_Assumptions!$B$15*($H$6-1)</f>
        <v>1621262.76079342</v>
      </c>
      <c r="I301" s="16" t="n">
        <f aca="false">G301+H301</f>
        <v>1778294.83711395</v>
      </c>
    </row>
    <row r="302" customFormat="false" ht="15" hidden="false" customHeight="true" outlineLevel="0" collapsed="false">
      <c r="A302" s="4" t="s">
        <v>302</v>
      </c>
      <c r="B302" s="4" t="n">
        <v>292</v>
      </c>
      <c r="C302" s="24" t="n">
        <f aca="true">RAND()</f>
        <v>0.426555055050439</v>
      </c>
      <c r="D302" s="25" t="n">
        <f aca="false">IF(C302&lt;(($C$6-$B$6)/($D$6-$B$6)),$B$6+SQRT(C302*($D$6-$B$6)*($C$6-$B$6)),$D$6-SQRT((1-C302)*($D$6-$B$6)*($D$6-$C$6)))</f>
        <v>10.4213157901552</v>
      </c>
      <c r="E302" s="26" t="n">
        <f aca="true">MAX(0,$E$6+$F$6*_xlfn.NORM.S.INV(RAND()))</f>
        <v>19.5978633755322</v>
      </c>
      <c r="F302" s="27" t="n">
        <f aca="false">1/(1+EXP(-03_Inputs_Assumptions!$B$14*(E302-03_Inputs_Assumptions!$B$5)))</f>
        <v>0.413252895611646</v>
      </c>
      <c r="G302" s="28" t="n">
        <f aca="false">D302*04_Baseline_PnL!$B$15*F302*04_Baseline_PnL!$B$14</f>
        <v>1231481.64396822</v>
      </c>
      <c r="H302" s="28" t="n">
        <f aca="false">D302*03_Inputs_Assumptions!$B$13*01_Macro_Data!$B$97*($G$6-1)+D302*04_Baseline_PnL!$B$15*04_Baseline_PnL!$B$13*03_Inputs_Assumptions!$B$15*($H$6-1)</f>
        <v>1273167.98155695</v>
      </c>
      <c r="I302" s="16" t="n">
        <f aca="false">G302+H302</f>
        <v>2504649.62552516</v>
      </c>
    </row>
    <row r="303" customFormat="false" ht="15" hidden="false" customHeight="true" outlineLevel="0" collapsed="false">
      <c r="A303" s="4" t="s">
        <v>302</v>
      </c>
      <c r="B303" s="4" t="n">
        <v>293</v>
      </c>
      <c r="C303" s="24" t="n">
        <f aca="true">RAND()</f>
        <v>0.842044694585337</v>
      </c>
      <c r="D303" s="25" t="n">
        <f aca="false">IF(C303&lt;(($C$6-$B$6)/($D$6-$B$6)),$B$6+SQRT(C303*($D$6-$B$6)*($C$6-$B$6)),$D$6-SQRT((1-C303)*($D$6-$B$6)*($D$6-$C$6)))</f>
        <v>14.9727891563665</v>
      </c>
      <c r="E303" s="26" t="n">
        <f aca="true">MAX(0,$E$6+$F$6*_xlfn.NORM.S.INV(RAND()))</f>
        <v>6.46662525950905</v>
      </c>
      <c r="F303" s="27" t="n">
        <f aca="false">1/(1+EXP(-03_Inputs_Assumptions!$B$14*(E303-03_Inputs_Assumptions!$B$5)))</f>
        <v>0.0257472313494588</v>
      </c>
      <c r="G303" s="28" t="n">
        <f aca="false">D303*04_Baseline_PnL!$B$15*F303*04_Baseline_PnL!$B$14</f>
        <v>110235.817104599</v>
      </c>
      <c r="H303" s="28" t="n">
        <f aca="false">D303*03_Inputs_Assumptions!$B$13*01_Macro_Data!$B$97*($G$6-1)+D303*04_Baseline_PnL!$B$15*04_Baseline_PnL!$B$13*03_Inputs_Assumptions!$B$15*($H$6-1)</f>
        <v>1829219.66211764</v>
      </c>
      <c r="I303" s="16" t="n">
        <f aca="false">G303+H303</f>
        <v>1939455.47922223</v>
      </c>
    </row>
    <row r="304" customFormat="false" ht="15" hidden="false" customHeight="true" outlineLevel="0" collapsed="false">
      <c r="A304" s="4" t="s">
        <v>302</v>
      </c>
      <c r="B304" s="4" t="n">
        <v>294</v>
      </c>
      <c r="C304" s="24" t="n">
        <f aca="true">RAND()</f>
        <v>0.518035070912416</v>
      </c>
      <c r="D304" s="25" t="n">
        <f aca="false">IF(C304&lt;(($C$6-$B$6)/($D$6-$B$6)),$B$6+SQRT(C304*($D$6-$B$6)*($C$6-$B$6)),$D$6-SQRT((1-C304)*($D$6-$B$6)*($D$6-$C$6)))</f>
        <v>11.2185201330292</v>
      </c>
      <c r="E304" s="26" t="n">
        <f aca="true">MAX(0,$E$6+$F$6*_xlfn.NORM.S.INV(RAND()))</f>
        <v>1.6475220762663</v>
      </c>
      <c r="F304" s="27" t="n">
        <f aca="false">1/(1+EXP(-03_Inputs_Assumptions!$B$14*(E304-03_Inputs_Assumptions!$B$5)))</f>
        <v>0.00785967356530259</v>
      </c>
      <c r="G304" s="28" t="n">
        <f aca="false">D304*04_Baseline_PnL!$B$15*F304*04_Baseline_PnL!$B$14</f>
        <v>25213.2924850114</v>
      </c>
      <c r="H304" s="28" t="n">
        <f aca="false">D304*03_Inputs_Assumptions!$B$13*01_Macro_Data!$B$97*($G$6-1)+D304*04_Baseline_PnL!$B$15*04_Baseline_PnL!$B$13*03_Inputs_Assumptions!$B$15*($H$6-1)</f>
        <v>1370562.11724412</v>
      </c>
      <c r="I304" s="16" t="n">
        <f aca="false">G304+H304</f>
        <v>1395775.40972914</v>
      </c>
    </row>
    <row r="305" customFormat="false" ht="15" hidden="false" customHeight="true" outlineLevel="0" collapsed="false">
      <c r="A305" s="4" t="s">
        <v>302</v>
      </c>
      <c r="B305" s="4" t="n">
        <v>295</v>
      </c>
      <c r="C305" s="24" t="n">
        <f aca="true">RAND()</f>
        <v>0.0396151237845272</v>
      </c>
      <c r="D305" s="25" t="n">
        <f aca="false">IF(C305&lt;(($C$6-$B$6)/($D$6-$B$6)),$B$6+SQRT(C305*($D$6-$B$6)*($C$6-$B$6)),$D$6-SQRT((1-C305)*($D$6-$B$6)*($D$6-$C$6)))</f>
        <v>5.95014150340805</v>
      </c>
      <c r="E305" s="26" t="n">
        <f aca="true">MAX(0,$E$6+$F$6*_xlfn.NORM.S.INV(RAND()))</f>
        <v>6.71381711101006</v>
      </c>
      <c r="F305" s="27" t="n">
        <f aca="false">1/(1+EXP(-03_Inputs_Assumptions!$B$14*(E305-03_Inputs_Assumptions!$B$5)))</f>
        <v>0.0273436708811111</v>
      </c>
      <c r="G305" s="28" t="n">
        <f aca="false">D305*04_Baseline_PnL!$B$15*F305*04_Baseline_PnL!$B$14</f>
        <v>46523.6300225621</v>
      </c>
      <c r="H305" s="28" t="n">
        <f aca="false">D305*03_Inputs_Assumptions!$B$13*01_Macro_Data!$B$97*($G$6-1)+D305*04_Baseline_PnL!$B$15*04_Baseline_PnL!$B$13*03_Inputs_Assumptions!$B$15*($H$6-1)</f>
        <v>726926.40741476</v>
      </c>
      <c r="I305" s="16" t="n">
        <f aca="false">G305+H305</f>
        <v>773450.037437322</v>
      </c>
    </row>
    <row r="306" customFormat="false" ht="15" hidden="false" customHeight="true" outlineLevel="0" collapsed="false">
      <c r="A306" s="4" t="s">
        <v>302</v>
      </c>
      <c r="B306" s="4" t="n">
        <v>296</v>
      </c>
      <c r="C306" s="24" t="n">
        <f aca="true">RAND()</f>
        <v>0.856730853855281</v>
      </c>
      <c r="D306" s="25" t="n">
        <f aca="false">IF(C306&lt;(($C$6-$B$6)/($D$6-$B$6)),$B$6+SQRT(C306*($D$6-$B$6)*($C$6-$B$6)),$D$6-SQRT((1-C306)*($D$6-$B$6)*($D$6-$C$6)))</f>
        <v>15.2121963925872</v>
      </c>
      <c r="E306" s="26" t="n">
        <f aca="true">MAX(0,$E$6+$F$6*_xlfn.NORM.S.INV(RAND()))</f>
        <v>9.07288373061058</v>
      </c>
      <c r="F306" s="27" t="n">
        <f aca="false">1/(1+EXP(-03_Inputs_Assumptions!$B$14*(E306-03_Inputs_Assumptions!$B$5)))</f>
        <v>0.0482558553902648</v>
      </c>
      <c r="G306" s="28" t="n">
        <f aca="false">D306*04_Baseline_PnL!$B$15*F306*04_Baseline_PnL!$B$14</f>
        <v>209909.175729665</v>
      </c>
      <c r="H306" s="28" t="n">
        <f aca="false">D306*03_Inputs_Assumptions!$B$13*01_Macro_Data!$B$97*($G$6-1)+D306*04_Baseline_PnL!$B$15*04_Baseline_PnL!$B$13*03_Inputs_Assumptions!$B$15*($H$6-1)</f>
        <v>1858467.94840382</v>
      </c>
      <c r="I306" s="16" t="n">
        <f aca="false">G306+H306</f>
        <v>2068377.12413349</v>
      </c>
    </row>
    <row r="307" customFormat="false" ht="15" hidden="false" customHeight="true" outlineLevel="0" collapsed="false">
      <c r="A307" s="4" t="s">
        <v>302</v>
      </c>
      <c r="B307" s="4" t="n">
        <v>297</v>
      </c>
      <c r="C307" s="24" t="n">
        <f aca="true">RAND()</f>
        <v>0.977835469312774</v>
      </c>
      <c r="D307" s="25" t="n">
        <f aca="false">IF(C307&lt;(($C$6-$B$6)/($D$6-$B$6)),$B$6+SQRT(C307*($D$6-$B$6)*($C$6-$B$6)),$D$6-SQRT((1-C307)*($D$6-$B$6)*($D$6-$C$6)))</f>
        <v>18.1168311520323</v>
      </c>
      <c r="E307" s="26" t="n">
        <f aca="true">MAX(0,$E$6+$F$6*_xlfn.NORM.S.INV(RAND()))</f>
        <v>16.7236512035054</v>
      </c>
      <c r="F307" s="27" t="n">
        <f aca="false">1/(1+EXP(-03_Inputs_Assumptions!$B$14*(E307-03_Inputs_Assumptions!$B$5)))</f>
        <v>0.255576712412758</v>
      </c>
      <c r="G307" s="28" t="n">
        <f aca="false">D307*04_Baseline_PnL!$B$15*F307*04_Baseline_PnL!$B$14</f>
        <v>1324015.28046341</v>
      </c>
      <c r="H307" s="28" t="n">
        <f aca="false">D307*03_Inputs_Assumptions!$B$13*01_Macro_Data!$B$97*($G$6-1)+D307*04_Baseline_PnL!$B$15*04_Baseline_PnL!$B$13*03_Inputs_Assumptions!$B$15*($H$6-1)</f>
        <v>2213326.01511132</v>
      </c>
      <c r="I307" s="16" t="n">
        <f aca="false">G307+H307</f>
        <v>3537341.29557473</v>
      </c>
    </row>
    <row r="308" customFormat="false" ht="15" hidden="false" customHeight="true" outlineLevel="0" collapsed="false">
      <c r="A308" s="4" t="s">
        <v>302</v>
      </c>
      <c r="B308" s="4" t="n">
        <v>298</v>
      </c>
      <c r="C308" s="24" t="n">
        <f aca="true">RAND()</f>
        <v>0.230495969059995</v>
      </c>
      <c r="D308" s="25" t="n">
        <f aca="false">IF(C308&lt;(($C$6-$B$6)/($D$6-$B$6)),$B$6+SQRT(C308*($D$6-$B$6)*($C$6-$B$6)),$D$6-SQRT((1-C308)*($D$6-$B$6)*($D$6-$C$6)))</f>
        <v>8.70399968428565</v>
      </c>
      <c r="E308" s="26" t="n">
        <f aca="true">MAX(0,$E$6+$F$6*_xlfn.NORM.S.INV(RAND()))</f>
        <v>17.5621467863511</v>
      </c>
      <c r="F308" s="27" t="n">
        <f aca="false">1/(1+EXP(-03_Inputs_Assumptions!$B$14*(E308-03_Inputs_Assumptions!$B$5)))</f>
        <v>0.297451489148588</v>
      </c>
      <c r="G308" s="28" t="n">
        <f aca="false">D308*04_Baseline_PnL!$B$15*F308*04_Baseline_PnL!$B$14</f>
        <v>740328.545792125</v>
      </c>
      <c r="H308" s="28" t="n">
        <f aca="false">D308*03_Inputs_Assumptions!$B$13*01_Macro_Data!$B$97*($G$6-1)+D308*04_Baseline_PnL!$B$15*04_Baseline_PnL!$B$13*03_Inputs_Assumptions!$B$15*($H$6-1)</f>
        <v>1063364.1598293</v>
      </c>
      <c r="I308" s="16" t="n">
        <f aca="false">G308+H308</f>
        <v>1803692.70562143</v>
      </c>
    </row>
    <row r="309" customFormat="false" ht="15" hidden="false" customHeight="true" outlineLevel="0" collapsed="false">
      <c r="A309" s="4" t="s">
        <v>302</v>
      </c>
      <c r="B309" s="4" t="n">
        <v>299</v>
      </c>
      <c r="C309" s="24" t="n">
        <f aca="true">RAND()</f>
        <v>0.668938220531964</v>
      </c>
      <c r="D309" s="25" t="n">
        <f aca="false">IF(C309&lt;(($C$6-$B$6)/($D$6-$B$6)),$B$6+SQRT(C309*($D$6-$B$6)*($C$6-$B$6)),$D$6-SQRT((1-C309)*($D$6-$B$6)*($D$6-$C$6)))</f>
        <v>12.7219587308888</v>
      </c>
      <c r="E309" s="26" t="n">
        <f aca="true">MAX(0,$E$6+$F$6*_xlfn.NORM.S.INV(RAND()))</f>
        <v>15.4662671540405</v>
      </c>
      <c r="F309" s="27" t="n">
        <f aca="false">1/(1+EXP(-03_Inputs_Assumptions!$B$14*(E309-03_Inputs_Assumptions!$B$5)))</f>
        <v>0.200458176902046</v>
      </c>
      <c r="G309" s="28" t="n">
        <f aca="false">D309*04_Baseline_PnL!$B$15*F309*04_Baseline_PnL!$B$14</f>
        <v>729234.555517999</v>
      </c>
      <c r="H309" s="28" t="n">
        <f aca="false">D309*03_Inputs_Assumptions!$B$13*01_Macro_Data!$B$97*($G$6-1)+D309*04_Baseline_PnL!$B$15*04_Baseline_PnL!$B$13*03_Inputs_Assumptions!$B$15*($H$6-1)</f>
        <v>1554236.60936919</v>
      </c>
      <c r="I309" s="16" t="n">
        <f aca="false">G309+H309</f>
        <v>2283471.16488719</v>
      </c>
    </row>
    <row r="310" customFormat="false" ht="15" hidden="false" customHeight="true" outlineLevel="0" collapsed="false">
      <c r="A310" s="4" t="s">
        <v>302</v>
      </c>
      <c r="B310" s="4" t="n">
        <v>300</v>
      </c>
      <c r="C310" s="24" t="n">
        <f aca="true">RAND()</f>
        <v>0.0611317066159059</v>
      </c>
      <c r="D310" s="25" t="n">
        <f aca="false">IF(C310&lt;(($C$6-$B$6)/($D$6-$B$6)),$B$6+SQRT(C310*($D$6-$B$6)*($C$6-$B$6)),$D$6-SQRT((1-C310)*($D$6-$B$6)*($D$6-$C$6)))</f>
        <v>6.42252839717659</v>
      </c>
      <c r="E310" s="26" t="n">
        <f aca="true">MAX(0,$E$6+$F$6*_xlfn.NORM.S.INV(RAND()))</f>
        <v>5.84515130920312</v>
      </c>
      <c r="F310" s="27" t="n">
        <f aca="false">1/(1+EXP(-03_Inputs_Assumptions!$B$14*(E310-03_Inputs_Assumptions!$B$5)))</f>
        <v>0.022124166755205</v>
      </c>
      <c r="G310" s="28" t="n">
        <f aca="false">D310*04_Baseline_PnL!$B$15*F310*04_Baseline_PnL!$B$14</f>
        <v>40631.4608995535</v>
      </c>
      <c r="H310" s="28" t="n">
        <f aca="false">D310*03_Inputs_Assumptions!$B$13*01_Macro_Data!$B$97*($G$6-1)+D310*04_Baseline_PnL!$B$15*04_Baseline_PnL!$B$13*03_Inputs_Assumptions!$B$15*($H$6-1)</f>
        <v>784637.725271705</v>
      </c>
      <c r="I310" s="16" t="n">
        <f aca="false">G310+H310</f>
        <v>825269.186171258</v>
      </c>
    </row>
    <row r="311" customFormat="false" ht="15" hidden="false" customHeight="true" outlineLevel="0" collapsed="false">
      <c r="A311" s="4" t="s">
        <v>303</v>
      </c>
      <c r="B311" s="4" t="n">
        <v>1</v>
      </c>
      <c r="C311" s="24" t="n">
        <f aca="true">RAND()</f>
        <v>0.312688993669636</v>
      </c>
      <c r="D311" s="25" t="n">
        <f aca="false">IF(C311&lt;(($C$7-$B$7)/($D$7-$B$7)),$B$7+SQRT(C311*($D$7-$B$7)*($C$7-$B$7)),$D$7-SQRT((1-C311)*($D$7-$B$7)*($D$7-$C$7)))</f>
        <v>15.4184407314378</v>
      </c>
      <c r="E311" s="26" t="n">
        <f aca="true">MAX(0,$E$7+$F$7*_xlfn.NORM.S.INV(RAND()))</f>
        <v>2.21496264861666</v>
      </c>
      <c r="F311" s="27" t="n">
        <f aca="false">1/(1+EXP(-03_Inputs_Assumptions!$B$14*(E311-03_Inputs_Assumptions!$B$5)))</f>
        <v>0.00904677190674416</v>
      </c>
      <c r="G311" s="28" t="n">
        <f aca="false">D311*04_Baseline_PnL!$B$15*F311*04_Baseline_PnL!$B$14</f>
        <v>39886.2840422381</v>
      </c>
      <c r="H311" s="28" t="n">
        <f aca="false">D311*03_Inputs_Assumptions!$B$13*01_Macro_Data!$B$97*($G$7-1)+D311*04_Baseline_PnL!$B$15*04_Baseline_PnL!$B$13*03_Inputs_Assumptions!$B$15*($H$7-1)</f>
        <v>156972.061398623</v>
      </c>
      <c r="I311" s="16" t="n">
        <f aca="false">G311+H311</f>
        <v>196858.345440861</v>
      </c>
    </row>
    <row r="312" customFormat="false" ht="15" hidden="false" customHeight="true" outlineLevel="0" collapsed="false">
      <c r="A312" s="4" t="s">
        <v>303</v>
      </c>
      <c r="B312" s="4" t="n">
        <v>2</v>
      </c>
      <c r="C312" s="24" t="n">
        <f aca="true">RAND()</f>
        <v>0.824367313714505</v>
      </c>
      <c r="D312" s="25" t="n">
        <f aca="false">IF(C312&lt;(($C$7-$B$7)/($D$7-$B$7)),$B$7+SQRT(C312*($D$7-$B$7)*($C$7-$B$7)),$D$7-SQRT((1-C312)*($D$7-$B$7)*($D$7-$C$7)))</f>
        <v>22.6450786968226</v>
      </c>
      <c r="E312" s="26" t="n">
        <f aca="true">MAX(0,$E$7+$F$7*_xlfn.NORM.S.INV(RAND()))</f>
        <v>3.17391467517632</v>
      </c>
      <c r="F312" s="27" t="n">
        <f aca="false">1/(1+EXP(-03_Inputs_Assumptions!$B$14*(E312-03_Inputs_Assumptions!$B$5)))</f>
        <v>0.0114695774106515</v>
      </c>
      <c r="G312" s="28" t="n">
        <f aca="false">D312*04_Baseline_PnL!$B$15*F312*04_Baseline_PnL!$B$14</f>
        <v>74269.5397230933</v>
      </c>
      <c r="H312" s="28" t="n">
        <f aca="false">D312*03_Inputs_Assumptions!$B$13*01_Macro_Data!$B$97*($G$7-1)+D312*04_Baseline_PnL!$B$15*04_Baseline_PnL!$B$13*03_Inputs_Assumptions!$B$15*($H$7-1)</f>
        <v>230545.017196612</v>
      </c>
      <c r="I312" s="16" t="n">
        <f aca="false">G312+H312</f>
        <v>304814.556919705</v>
      </c>
    </row>
    <row r="313" customFormat="false" ht="15" hidden="false" customHeight="true" outlineLevel="0" collapsed="false">
      <c r="A313" s="4" t="s">
        <v>303</v>
      </c>
      <c r="B313" s="4" t="n">
        <v>3</v>
      </c>
      <c r="C313" s="24" t="n">
        <f aca="true">RAND()</f>
        <v>0.96467051745238</v>
      </c>
      <c r="D313" s="25" t="n">
        <f aca="false">IF(C313&lt;(($C$7-$B$7)/($D$7-$B$7)),$B$7+SQRT(C313*($D$7-$B$7)*($C$7-$B$7)),$D$7-SQRT((1-C313)*($D$7-$B$7)*($D$7-$C$7)))</f>
        <v>26.7012910669981</v>
      </c>
      <c r="E313" s="26" t="n">
        <f aca="true">MAX(0,$E$7+$F$7*_xlfn.NORM.S.INV(RAND()))</f>
        <v>3.15721432532765</v>
      </c>
      <c r="F313" s="27" t="n">
        <f aca="false">1/(1+EXP(-03_Inputs_Assumptions!$B$14*(E313-03_Inputs_Assumptions!$B$5)))</f>
        <v>0.0114223365833169</v>
      </c>
      <c r="G313" s="28" t="n">
        <f aca="false">D313*04_Baseline_PnL!$B$15*F313*04_Baseline_PnL!$B$14</f>
        <v>87212.090272834</v>
      </c>
      <c r="H313" s="28" t="n">
        <f aca="false">D313*03_Inputs_Assumptions!$B$13*01_Macro_Data!$B$97*($G$7-1)+D313*04_Baseline_PnL!$B$15*04_Baseline_PnL!$B$13*03_Inputs_Assumptions!$B$15*($H$7-1)</f>
        <v>271840.504094894</v>
      </c>
      <c r="I313" s="16" t="n">
        <f aca="false">G313+H313</f>
        <v>359052.594367728</v>
      </c>
    </row>
    <row r="314" customFormat="false" ht="15" hidden="false" customHeight="true" outlineLevel="0" collapsed="false">
      <c r="A314" s="4" t="s">
        <v>303</v>
      </c>
      <c r="B314" s="4" t="n">
        <v>4</v>
      </c>
      <c r="C314" s="24" t="n">
        <f aca="true">RAND()</f>
        <v>0.294176412190562</v>
      </c>
      <c r="D314" s="25" t="n">
        <f aca="false">IF(C314&lt;(($C$7-$B$7)/($D$7-$B$7)),$B$7+SQRT(C314*($D$7-$B$7)*($C$7-$B$7)),$D$7-SQRT((1-C314)*($D$7-$B$7)*($D$7-$C$7)))</f>
        <v>15.1954880686121</v>
      </c>
      <c r="E314" s="26" t="n">
        <f aca="true">MAX(0,$E$7+$F$7*_xlfn.NORM.S.INV(RAND()))</f>
        <v>1.66272765080247</v>
      </c>
      <c r="F314" s="27" t="n">
        <f aca="false">1/(1+EXP(-03_Inputs_Assumptions!$B$14*(E314-03_Inputs_Assumptions!$B$5)))</f>
        <v>0.00788937197387469</v>
      </c>
      <c r="G314" s="28" t="n">
        <f aca="false">D314*04_Baseline_PnL!$B$15*F314*04_Baseline_PnL!$B$14</f>
        <v>34280.4542488013</v>
      </c>
      <c r="H314" s="28" t="n">
        <f aca="false">D314*03_Inputs_Assumptions!$B$13*01_Macro_Data!$B$97*($G$7-1)+D314*04_Baseline_PnL!$B$15*04_Baseline_PnL!$B$13*03_Inputs_Assumptions!$B$15*($H$7-1)</f>
        <v>154702.224928926</v>
      </c>
      <c r="I314" s="16" t="n">
        <f aca="false">G314+H314</f>
        <v>188982.679177727</v>
      </c>
    </row>
    <row r="315" customFormat="false" ht="15" hidden="false" customHeight="true" outlineLevel="0" collapsed="false">
      <c r="A315" s="4" t="s">
        <v>303</v>
      </c>
      <c r="B315" s="4" t="n">
        <v>5</v>
      </c>
      <c r="C315" s="24" t="n">
        <f aca="true">RAND()</f>
        <v>0.665764149799085</v>
      </c>
      <c r="D315" s="25" t="n">
        <f aca="false">IF(C315&lt;(($C$7-$B$7)/($D$7-$B$7)),$B$7+SQRT(C315*($D$7-$B$7)*($C$7-$B$7)),$D$7-SQRT((1-C315)*($D$7-$B$7)*($D$7-$C$7)))</f>
        <v>19.8538361011719</v>
      </c>
      <c r="E315" s="26" t="n">
        <f aca="true">MAX(0,$E$7+$F$7*_xlfn.NORM.S.INV(RAND()))</f>
        <v>4.07882720294857</v>
      </c>
      <c r="F315" s="27" t="n">
        <f aca="false">1/(1+EXP(-03_Inputs_Assumptions!$B$14*(E315-03_Inputs_Assumptions!$B$5)))</f>
        <v>0.0143395114272589</v>
      </c>
      <c r="G315" s="28" t="n">
        <f aca="false">D315*04_Baseline_PnL!$B$15*F315*04_Baseline_PnL!$B$14</f>
        <v>81408.2216939507</v>
      </c>
      <c r="H315" s="28" t="n">
        <f aca="false">D315*03_Inputs_Assumptions!$B$13*01_Macro_Data!$B$97*($G$7-1)+D315*04_Baseline_PnL!$B$15*04_Baseline_PnL!$B$13*03_Inputs_Assumptions!$B$15*($H$7-1)</f>
        <v>202127.934578812</v>
      </c>
      <c r="I315" s="16" t="n">
        <f aca="false">G315+H315</f>
        <v>283536.156272762</v>
      </c>
    </row>
    <row r="316" customFormat="false" ht="15" hidden="false" customHeight="true" outlineLevel="0" collapsed="false">
      <c r="A316" s="4" t="s">
        <v>303</v>
      </c>
      <c r="B316" s="4" t="n">
        <v>6</v>
      </c>
      <c r="C316" s="24" t="n">
        <f aca="true">RAND()</f>
        <v>0.62168714899385</v>
      </c>
      <c r="D316" s="25" t="n">
        <f aca="false">IF(C316&lt;(($C$7-$B$7)/($D$7-$B$7)),$B$7+SQRT(C316*($D$7-$B$7)*($C$7-$B$7)),$D$7-SQRT((1-C316)*($D$7-$B$7)*($D$7-$C$7)))</f>
        <v>19.2055403975051</v>
      </c>
      <c r="E316" s="26" t="n">
        <f aca="true">MAX(0,$E$7+$F$7*_xlfn.NORM.S.INV(RAND()))</f>
        <v>3.50494535561225</v>
      </c>
      <c r="F316" s="27" t="n">
        <f aca="false">1/(1+EXP(-03_Inputs_Assumptions!$B$14*(E316-03_Inputs_Assumptions!$B$5)))</f>
        <v>0.0124468386688798</v>
      </c>
      <c r="G316" s="28" t="n">
        <f aca="false">D316*04_Baseline_PnL!$B$15*F316*04_Baseline_PnL!$B$14</f>
        <v>68355.7532424121</v>
      </c>
      <c r="H316" s="28" t="n">
        <f aca="false">D316*03_Inputs_Assumptions!$B$13*01_Macro_Data!$B$97*($G$7-1)+D316*04_Baseline_PnL!$B$15*04_Baseline_PnL!$B$13*03_Inputs_Assumptions!$B$15*($H$7-1)</f>
        <v>195527.76567892</v>
      </c>
      <c r="I316" s="16" t="n">
        <f aca="false">G316+H316</f>
        <v>263883.518921332</v>
      </c>
    </row>
    <row r="317" customFormat="false" ht="15" hidden="false" customHeight="true" outlineLevel="0" collapsed="false">
      <c r="A317" s="4" t="s">
        <v>303</v>
      </c>
      <c r="B317" s="4" t="n">
        <v>7</v>
      </c>
      <c r="C317" s="24" t="n">
        <f aca="true">RAND()</f>
        <v>0.389132469107614</v>
      </c>
      <c r="D317" s="25" t="n">
        <f aca="false">IF(C317&lt;(($C$7-$B$7)/($D$7-$B$7)),$B$7+SQRT(C317*($D$7-$B$7)*($C$7-$B$7)),$D$7-SQRT((1-C317)*($D$7-$B$7)*($D$7-$C$7)))</f>
        <v>16.2833240355086</v>
      </c>
      <c r="E317" s="26" t="n">
        <f aca="true">MAX(0,$E$7+$F$7*_xlfn.NORM.S.INV(RAND()))</f>
        <v>4.10097197121182</v>
      </c>
      <c r="F317" s="27" t="n">
        <f aca="false">1/(1+EXP(-03_Inputs_Assumptions!$B$14*(E317-03_Inputs_Assumptions!$B$5)))</f>
        <v>0.0144179701082736</v>
      </c>
      <c r="G317" s="28" t="n">
        <f aca="false">D317*04_Baseline_PnL!$B$15*F317*04_Baseline_PnL!$B$14</f>
        <v>67133.09464667</v>
      </c>
      <c r="H317" s="28" t="n">
        <f aca="false">D317*03_Inputs_Assumptions!$B$13*01_Macro_Data!$B$97*($G$7-1)+D317*04_Baseline_PnL!$B$15*04_Baseline_PnL!$B$13*03_Inputs_Assumptions!$B$15*($H$7-1)</f>
        <v>165777.265340707</v>
      </c>
      <c r="I317" s="16" t="n">
        <f aca="false">G317+H317</f>
        <v>232910.359987377</v>
      </c>
    </row>
    <row r="318" customFormat="false" ht="15" hidden="false" customHeight="true" outlineLevel="0" collapsed="false">
      <c r="A318" s="4" t="s">
        <v>303</v>
      </c>
      <c r="B318" s="4" t="n">
        <v>8</v>
      </c>
      <c r="C318" s="24" t="n">
        <f aca="true">RAND()</f>
        <v>0.254603220447129</v>
      </c>
      <c r="D318" s="25" t="n">
        <f aca="false">IF(C318&lt;(($C$7-$B$7)/($D$7-$B$7)),$B$7+SQRT(C318*($D$7-$B$7)*($C$7-$B$7)),$D$7-SQRT((1-C318)*($D$7-$B$7)*($D$7-$C$7)))</f>
        <v>14.6940396472306</v>
      </c>
      <c r="E318" s="26" t="n">
        <f aca="true">MAX(0,$E$7+$F$7*_xlfn.NORM.S.INV(RAND()))</f>
        <v>5.98757086561282</v>
      </c>
      <c r="F318" s="27" t="n">
        <f aca="false">1/(1+EXP(-03_Inputs_Assumptions!$B$14*(E318-03_Inputs_Assumptions!$B$5)))</f>
        <v>0.0229077165247846</v>
      </c>
      <c r="G318" s="28" t="n">
        <f aca="false">D318*04_Baseline_PnL!$B$15*F318*04_Baseline_PnL!$B$14</f>
        <v>96252.6042511314</v>
      </c>
      <c r="H318" s="28" t="n">
        <f aca="false">D318*03_Inputs_Assumptions!$B$13*01_Macro_Data!$B$97*($G$7-1)+D318*04_Baseline_PnL!$B$15*04_Baseline_PnL!$B$13*03_Inputs_Assumptions!$B$15*($H$7-1)</f>
        <v>149597.078840525</v>
      </c>
      <c r="I318" s="16" t="n">
        <f aca="false">G318+H318</f>
        <v>245849.683091656</v>
      </c>
    </row>
    <row r="319" customFormat="false" ht="15" hidden="false" customHeight="true" outlineLevel="0" collapsed="false">
      <c r="A319" s="4" t="s">
        <v>303</v>
      </c>
      <c r="B319" s="4" t="n">
        <v>9</v>
      </c>
      <c r="C319" s="24" t="n">
        <f aca="true">RAND()</f>
        <v>0.0999045836800826</v>
      </c>
      <c r="D319" s="25" t="n">
        <f aca="false">IF(C319&lt;(($C$7-$B$7)/($D$7-$B$7)),$B$7+SQRT(C319*($D$7-$B$7)*($C$7-$B$7)),$D$7-SQRT((1-C319)*($D$7-$B$7)*($D$7-$C$7)))</f>
        <v>12.1932334454088</v>
      </c>
      <c r="E319" s="26" t="n">
        <f aca="true">MAX(0,$E$7+$F$7*_xlfn.NORM.S.INV(RAND()))</f>
        <v>5.06345095582637</v>
      </c>
      <c r="F319" s="27" t="n">
        <f aca="false">1/(1+EXP(-03_Inputs_Assumptions!$B$14*(E319-03_Inputs_Assumptions!$B$5)))</f>
        <v>0.0182685416647014</v>
      </c>
      <c r="G319" s="28" t="n">
        <f aca="false">D319*04_Baseline_PnL!$B$15*F319*04_Baseline_PnL!$B$14</f>
        <v>63696.0131538803</v>
      </c>
      <c r="H319" s="28" t="n">
        <f aca="false">D319*03_Inputs_Assumptions!$B$13*01_Macro_Data!$B$97*($G$7-1)+D319*04_Baseline_PnL!$B$15*04_Baseline_PnL!$B$13*03_Inputs_Assumptions!$B$15*($H$7-1)</f>
        <v>124136.871061018</v>
      </c>
      <c r="I319" s="16" t="n">
        <f aca="false">G319+H319</f>
        <v>187832.884214898</v>
      </c>
    </row>
    <row r="320" customFormat="false" ht="15" hidden="false" customHeight="true" outlineLevel="0" collapsed="false">
      <c r="A320" s="4" t="s">
        <v>303</v>
      </c>
      <c r="B320" s="4" t="n">
        <v>10</v>
      </c>
      <c r="C320" s="24" t="n">
        <f aca="true">RAND()</f>
        <v>0.827570632996674</v>
      </c>
      <c r="D320" s="25" t="n">
        <f aca="false">IF(C320&lt;(($C$7-$B$7)/($D$7-$B$7)),$B$7+SQRT(C320*($D$7-$B$7)*($C$7-$B$7)),$D$7-SQRT((1-C320)*($D$7-$B$7)*($D$7-$C$7)))</f>
        <v>22.7124596030606</v>
      </c>
      <c r="E320" s="26" t="n">
        <f aca="true">MAX(0,$E$7+$F$7*_xlfn.NORM.S.INV(RAND()))</f>
        <v>3.19794546141035</v>
      </c>
      <c r="F320" s="27" t="n">
        <f aca="false">1/(1+EXP(-03_Inputs_Assumptions!$B$14*(E320-03_Inputs_Assumptions!$B$5)))</f>
        <v>0.011537893128896</v>
      </c>
      <c r="G320" s="28" t="n">
        <f aca="false">D320*04_Baseline_PnL!$B$15*F320*04_Baseline_PnL!$B$14</f>
        <v>74934.2148264768</v>
      </c>
      <c r="H320" s="28" t="n">
        <f aca="false">D320*03_Inputs_Assumptions!$B$13*01_Macro_Data!$B$97*($G$7-1)+D320*04_Baseline_PnL!$B$15*04_Baseline_PnL!$B$13*03_Inputs_Assumptions!$B$15*($H$7-1)</f>
        <v>231231.008726839</v>
      </c>
      <c r="I320" s="16" t="n">
        <f aca="false">G320+H320</f>
        <v>306165.223553316</v>
      </c>
    </row>
    <row r="321" customFormat="false" ht="15" hidden="false" customHeight="true" outlineLevel="0" collapsed="false">
      <c r="A321" s="4" t="s">
        <v>303</v>
      </c>
      <c r="B321" s="4" t="n">
        <v>11</v>
      </c>
      <c r="C321" s="24" t="n">
        <f aca="true">RAND()</f>
        <v>0.479501002592109</v>
      </c>
      <c r="D321" s="25" t="n">
        <f aca="false">IF(C321&lt;(($C$7-$B$7)/($D$7-$B$7)),$B$7+SQRT(C321*($D$7-$B$7)*($C$7-$B$7)),$D$7-SQRT((1-C321)*($D$7-$B$7)*($D$7-$C$7)))</f>
        <v>17.3384956975235</v>
      </c>
      <c r="E321" s="26" t="n">
        <f aca="true">MAX(0,$E$7+$F$7*_xlfn.NORM.S.INV(RAND()))</f>
        <v>3.49020331949197</v>
      </c>
      <c r="F321" s="27" t="n">
        <f aca="false">1/(1+EXP(-03_Inputs_Assumptions!$B$14*(E321-03_Inputs_Assumptions!$B$5)))</f>
        <v>0.0124016180129568</v>
      </c>
      <c r="G321" s="28" t="n">
        <f aca="false">D321*04_Baseline_PnL!$B$15*F321*04_Baseline_PnL!$B$14</f>
        <v>61486.4255638985</v>
      </c>
      <c r="H321" s="28" t="n">
        <f aca="false">D321*03_Inputs_Assumptions!$B$13*01_Macro_Data!$B$97*($G$7-1)+D321*04_Baseline_PnL!$B$15*04_Baseline_PnL!$B$13*03_Inputs_Assumptions!$B$15*($H$7-1)</f>
        <v>176519.756997348</v>
      </c>
      <c r="I321" s="16" t="n">
        <f aca="false">G321+H321</f>
        <v>238006.182561246</v>
      </c>
    </row>
    <row r="322" customFormat="false" ht="15" hidden="false" customHeight="true" outlineLevel="0" collapsed="false">
      <c r="A322" s="4" t="s">
        <v>303</v>
      </c>
      <c r="B322" s="4" t="n">
        <v>12</v>
      </c>
      <c r="C322" s="24" t="n">
        <f aca="true">RAND()</f>
        <v>0.266900522298838</v>
      </c>
      <c r="D322" s="25" t="n">
        <f aca="false">IF(C322&lt;(($C$7-$B$7)/($D$7-$B$7)),$B$7+SQRT(C322*($D$7-$B$7)*($C$7-$B$7)),$D$7-SQRT((1-C322)*($D$7-$B$7)*($D$7-$C$7)))</f>
        <v>14.8537939803145</v>
      </c>
      <c r="E322" s="26" t="n">
        <f aca="true">MAX(0,$E$7+$F$7*_xlfn.NORM.S.INV(RAND()))</f>
        <v>1.32842413670866</v>
      </c>
      <c r="F322" s="27" t="n">
        <f aca="false">1/(1+EXP(-03_Inputs_Assumptions!$B$14*(E322-03_Inputs_Assumptions!$B$5)))</f>
        <v>0.00726140557344092</v>
      </c>
      <c r="G322" s="28" t="n">
        <f aca="false">D322*04_Baseline_PnL!$B$15*F322*04_Baseline_PnL!$B$14</f>
        <v>30842.3578293943</v>
      </c>
      <c r="H322" s="28" t="n">
        <f aca="false">D322*03_Inputs_Assumptions!$B$13*01_Macro_Data!$B$97*($G$7-1)+D322*04_Baseline_PnL!$B$15*04_Baseline_PnL!$B$13*03_Inputs_Assumptions!$B$15*($H$7-1)</f>
        <v>151223.505754786</v>
      </c>
      <c r="I322" s="16" t="n">
        <f aca="false">G322+H322</f>
        <v>182065.86358418</v>
      </c>
    </row>
    <row r="323" customFormat="false" ht="15" hidden="false" customHeight="true" outlineLevel="0" collapsed="false">
      <c r="A323" s="4" t="s">
        <v>303</v>
      </c>
      <c r="B323" s="4" t="n">
        <v>13</v>
      </c>
      <c r="C323" s="24" t="n">
        <f aca="true">RAND()</f>
        <v>0.51780600778953</v>
      </c>
      <c r="D323" s="25" t="n">
        <f aca="false">IF(C323&lt;(($C$7-$B$7)/($D$7-$B$7)),$B$7+SQRT(C323*($D$7-$B$7)*($C$7-$B$7)),$D$7-SQRT((1-C323)*($D$7-$B$7)*($D$7-$C$7)))</f>
        <v>17.8132961962299</v>
      </c>
      <c r="E323" s="26" t="n">
        <f aca="true">MAX(0,$E$7+$F$7*_xlfn.NORM.S.INV(RAND()))</f>
        <v>3.50061828190912</v>
      </c>
      <c r="F323" s="27" t="n">
        <f aca="false">1/(1+EXP(-03_Inputs_Assumptions!$B$14*(E323-03_Inputs_Assumptions!$B$5)))</f>
        <v>0.0124335486741744</v>
      </c>
      <c r="G323" s="28" t="n">
        <f aca="false">D323*04_Baseline_PnL!$B$15*F323*04_Baseline_PnL!$B$14</f>
        <v>63332.8263118867</v>
      </c>
      <c r="H323" s="28" t="n">
        <f aca="false">D323*03_Inputs_Assumptions!$B$13*01_Macro_Data!$B$97*($G$7-1)+D323*04_Baseline_PnL!$B$15*04_Baseline_PnL!$B$13*03_Inputs_Assumptions!$B$15*($H$7-1)</f>
        <v>181353.605914578</v>
      </c>
      <c r="I323" s="16" t="n">
        <f aca="false">G323+H323</f>
        <v>244686.432226464</v>
      </c>
    </row>
    <row r="324" customFormat="false" ht="15" hidden="false" customHeight="true" outlineLevel="0" collapsed="false">
      <c r="A324" s="4" t="s">
        <v>303</v>
      </c>
      <c r="B324" s="4" t="n">
        <v>14</v>
      </c>
      <c r="C324" s="24" t="n">
        <f aca="true">RAND()</f>
        <v>0.248077921042041</v>
      </c>
      <c r="D324" s="25" t="n">
        <f aca="false">IF(C324&lt;(($C$7-$B$7)/($D$7-$B$7)),$B$7+SQRT(C324*($D$7-$B$7)*($C$7-$B$7)),$D$7-SQRT((1-C324)*($D$7-$B$7)*($D$7-$C$7)))</f>
        <v>14.6077011209194</v>
      </c>
      <c r="E324" s="26" t="n">
        <f aca="true">MAX(0,$E$7+$F$7*_xlfn.NORM.S.INV(RAND()))</f>
        <v>2.74139141136086</v>
      </c>
      <c r="F324" s="27" t="n">
        <f aca="false">1/(1+EXP(-03_Inputs_Assumptions!$B$14*(E324-03_Inputs_Assumptions!$B$5)))</f>
        <v>0.0103061775530226</v>
      </c>
      <c r="G324" s="28" t="n">
        <f aca="false">D324*04_Baseline_PnL!$B$15*F324*04_Baseline_PnL!$B$14</f>
        <v>43049.5856591976</v>
      </c>
      <c r="H324" s="28" t="n">
        <f aca="false">D324*03_Inputs_Assumptions!$B$13*01_Macro_Data!$B$97*($G$7-1)+D324*04_Baseline_PnL!$B$15*04_Baseline_PnL!$B$13*03_Inputs_Assumptions!$B$15*($H$7-1)</f>
        <v>148718.083571856</v>
      </c>
      <c r="I324" s="16" t="n">
        <f aca="false">G324+H324</f>
        <v>191767.669231054</v>
      </c>
    </row>
    <row r="325" customFormat="false" ht="15" hidden="false" customHeight="true" outlineLevel="0" collapsed="false">
      <c r="A325" s="4" t="s">
        <v>303</v>
      </c>
      <c r="B325" s="4" t="n">
        <v>15</v>
      </c>
      <c r="C325" s="24" t="n">
        <f aca="true">RAND()</f>
        <v>0.991595739598676</v>
      </c>
      <c r="D325" s="25" t="n">
        <f aca="false">IF(C325&lt;(($C$7-$B$7)/($D$7-$B$7)),$B$7+SQRT(C325*($D$7-$B$7)*($C$7-$B$7)),$D$7-SQRT((1-C325)*($D$7-$B$7)*($D$7-$C$7)))</f>
        <v>28.3911146083056</v>
      </c>
      <c r="E325" s="26" t="n">
        <f aca="true">MAX(0,$E$7+$F$7*_xlfn.NORM.S.INV(RAND()))</f>
        <v>3.33977936652379</v>
      </c>
      <c r="F325" s="27" t="n">
        <f aca="false">1/(1+EXP(-03_Inputs_Assumptions!$B$14*(E325-03_Inputs_Assumptions!$B$5)))</f>
        <v>0.0119493726645405</v>
      </c>
      <c r="G325" s="28" t="n">
        <f aca="false">D325*04_Baseline_PnL!$B$15*F325*04_Baseline_PnL!$B$14</f>
        <v>97010.1173110999</v>
      </c>
      <c r="H325" s="28" t="n">
        <f aca="false">D325*03_Inputs_Assumptions!$B$13*01_Macro_Data!$B$97*($G$7-1)+D325*04_Baseline_PnL!$B$15*04_Baseline_PnL!$B$13*03_Inputs_Assumptions!$B$15*($H$7-1)</f>
        <v>289044.259604238</v>
      </c>
      <c r="I325" s="16" t="n">
        <f aca="false">G325+H325</f>
        <v>386054.376915338</v>
      </c>
    </row>
    <row r="326" customFormat="false" ht="15" hidden="false" customHeight="true" outlineLevel="0" collapsed="false">
      <c r="A326" s="4" t="s">
        <v>303</v>
      </c>
      <c r="B326" s="4" t="n">
        <v>16</v>
      </c>
      <c r="C326" s="24" t="n">
        <f aca="true">RAND()</f>
        <v>0.432531156761085</v>
      </c>
      <c r="D326" s="25" t="n">
        <f aca="false">IF(C326&lt;(($C$7-$B$7)/($D$7-$B$7)),$B$7+SQRT(C326*($D$7-$B$7)*($C$7-$B$7)),$D$7-SQRT((1-C326)*($D$7-$B$7)*($D$7-$C$7)))</f>
        <v>16.7795460093995</v>
      </c>
      <c r="E326" s="26" t="n">
        <f aca="true">MAX(0,$E$7+$F$7*_xlfn.NORM.S.INV(RAND()))</f>
        <v>5.37272557337625</v>
      </c>
      <c r="F326" s="27" t="n">
        <f aca="false">1/(1+EXP(-03_Inputs_Assumptions!$B$14*(E326-03_Inputs_Assumptions!$B$5)))</f>
        <v>0.0197081397802577</v>
      </c>
      <c r="G326" s="28" t="n">
        <f aca="false">D326*04_Baseline_PnL!$B$15*F326*04_Baseline_PnL!$B$14</f>
        <v>94561.710927363</v>
      </c>
      <c r="H326" s="28" t="n">
        <f aca="false">D326*03_Inputs_Assumptions!$B$13*01_Macro_Data!$B$97*($G$7-1)+D326*04_Baseline_PnL!$B$15*04_Baseline_PnL!$B$13*03_Inputs_Assumptions!$B$15*($H$7-1)</f>
        <v>170829.202012494</v>
      </c>
      <c r="I326" s="16" t="n">
        <f aca="false">G326+H326</f>
        <v>265390.912939857</v>
      </c>
    </row>
    <row r="327" customFormat="false" ht="15" hidden="false" customHeight="true" outlineLevel="0" collapsed="false">
      <c r="A327" s="4" t="s">
        <v>303</v>
      </c>
      <c r="B327" s="4" t="n">
        <v>17</v>
      </c>
      <c r="C327" s="24" t="n">
        <f aca="true">RAND()</f>
        <v>0.601564286094562</v>
      </c>
      <c r="D327" s="25" t="n">
        <f aca="false">IF(C327&lt;(($C$7-$B$7)/($D$7-$B$7)),$B$7+SQRT(C327*($D$7-$B$7)*($C$7-$B$7)),$D$7-SQRT((1-C327)*($D$7-$B$7)*($D$7-$C$7)))</f>
        <v>18.9221753090747</v>
      </c>
      <c r="E327" s="26" t="n">
        <f aca="true">MAX(0,$E$7+$F$7*_xlfn.NORM.S.INV(RAND()))</f>
        <v>3.50427699378008</v>
      </c>
      <c r="F327" s="27" t="n">
        <f aca="false">1/(1+EXP(-03_Inputs_Assumptions!$B$14*(E327-03_Inputs_Assumptions!$B$5)))</f>
        <v>0.0124447849745029</v>
      </c>
      <c r="G327" s="28" t="n">
        <f aca="false">D327*04_Baseline_PnL!$B$15*F327*04_Baseline_PnL!$B$14</f>
        <v>67336.0970573462</v>
      </c>
      <c r="H327" s="28" t="n">
        <f aca="false">D327*03_Inputs_Assumptions!$B$13*01_Macro_Data!$B$97*($G$7-1)+D327*04_Baseline_PnL!$B$15*04_Baseline_PnL!$B$13*03_Inputs_Assumptions!$B$15*($H$7-1)</f>
        <v>192642.882386628</v>
      </c>
      <c r="I327" s="16" t="n">
        <f aca="false">G327+H327</f>
        <v>259978.979443974</v>
      </c>
    </row>
    <row r="328" customFormat="false" ht="15" hidden="false" customHeight="true" outlineLevel="0" collapsed="false">
      <c r="A328" s="4" t="s">
        <v>303</v>
      </c>
      <c r="B328" s="4" t="n">
        <v>18</v>
      </c>
      <c r="C328" s="24" t="n">
        <f aca="true">RAND()</f>
        <v>0.0303693928759092</v>
      </c>
      <c r="D328" s="25" t="n">
        <f aca="false">IF(C328&lt;(($C$7-$B$7)/($D$7-$B$7)),$B$7+SQRT(C328*($D$7-$B$7)*($C$7-$B$7)),$D$7-SQRT((1-C328)*($D$7-$B$7)*($D$7-$C$7)))</f>
        <v>10.3119284474568</v>
      </c>
      <c r="E328" s="26" t="n">
        <f aca="true">MAX(0,$E$7+$F$7*_xlfn.NORM.S.INV(RAND()))</f>
        <v>3.38406574635613</v>
      </c>
      <c r="F328" s="27" t="n">
        <f aca="false">1/(1+EXP(-03_Inputs_Assumptions!$B$14*(E328-03_Inputs_Assumptions!$B$5)))</f>
        <v>0.0120807992139307</v>
      </c>
      <c r="G328" s="28" t="n">
        <f aca="false">D328*04_Baseline_PnL!$B$15*F328*04_Baseline_PnL!$B$14</f>
        <v>35622.5527638896</v>
      </c>
      <c r="H328" s="28" t="n">
        <f aca="false">D328*03_Inputs_Assumptions!$B$13*01_Macro_Data!$B$97*($G$7-1)+D328*04_Baseline_PnL!$B$15*04_Baseline_PnL!$B$13*03_Inputs_Assumptions!$B$15*($H$7-1)</f>
        <v>104983.681137868</v>
      </c>
      <c r="I328" s="16" t="n">
        <f aca="false">G328+H328</f>
        <v>140606.233901758</v>
      </c>
    </row>
    <row r="329" customFormat="false" ht="15" hidden="false" customHeight="true" outlineLevel="0" collapsed="false">
      <c r="A329" s="4" t="s">
        <v>303</v>
      </c>
      <c r="B329" s="4" t="n">
        <v>19</v>
      </c>
      <c r="C329" s="24" t="n">
        <f aca="true">RAND()</f>
        <v>0.524881099079907</v>
      </c>
      <c r="D329" s="25" t="n">
        <f aca="false">IF(C329&lt;(($C$7-$B$7)/($D$7-$B$7)),$B$7+SQRT(C329*($D$7-$B$7)*($C$7-$B$7)),$D$7-SQRT((1-C329)*($D$7-$B$7)*($D$7-$C$7)))</f>
        <v>17.9030325501228</v>
      </c>
      <c r="E329" s="26" t="n">
        <f aca="true">MAX(0,$E$7+$F$7*_xlfn.NORM.S.INV(RAND()))</f>
        <v>3.68803586166666</v>
      </c>
      <c r="F329" s="27" t="n">
        <f aca="false">1/(1+EXP(-03_Inputs_Assumptions!$B$14*(E329-03_Inputs_Assumptions!$B$5)))</f>
        <v>0.0130222118099635</v>
      </c>
      <c r="G329" s="28" t="n">
        <f aca="false">D329*04_Baseline_PnL!$B$15*F329*04_Baseline_PnL!$B$14</f>
        <v>66665.4534562523</v>
      </c>
      <c r="H329" s="28" t="n">
        <f aca="false">D329*03_Inputs_Assumptions!$B$13*01_Macro_Data!$B$97*($G$7-1)+D329*04_Baseline_PnL!$B$15*04_Baseline_PnL!$B$13*03_Inputs_Assumptions!$B$15*($H$7-1)</f>
        <v>182267.19378629</v>
      </c>
      <c r="I329" s="16" t="n">
        <f aca="false">G329+H329</f>
        <v>248932.647242543</v>
      </c>
    </row>
    <row r="330" customFormat="false" ht="15" hidden="false" customHeight="true" outlineLevel="0" collapsed="false">
      <c r="A330" s="4" t="s">
        <v>303</v>
      </c>
      <c r="B330" s="4" t="n">
        <v>20</v>
      </c>
      <c r="C330" s="24" t="n">
        <f aca="true">RAND()</f>
        <v>0.292773487615715</v>
      </c>
      <c r="D330" s="25" t="n">
        <f aca="false">IF(C330&lt;(($C$7-$B$7)/($D$7-$B$7)),$B$7+SQRT(C330*($D$7-$B$7)*($C$7-$B$7)),$D$7-SQRT((1-C330)*($D$7-$B$7)*($D$7-$C$7)))</f>
        <v>15.1783099557184</v>
      </c>
      <c r="E330" s="26" t="n">
        <f aca="true">MAX(0,$E$7+$F$7*_xlfn.NORM.S.INV(RAND()))</f>
        <v>4.38953034798574</v>
      </c>
      <c r="F330" s="27" t="n">
        <f aca="false">1/(1+EXP(-03_Inputs_Assumptions!$B$14*(E330-03_Inputs_Assumptions!$B$5)))</f>
        <v>0.0154798160740213</v>
      </c>
      <c r="G330" s="28" t="n">
        <f aca="false">D330*04_Baseline_PnL!$B$15*F330*04_Baseline_PnL!$B$14</f>
        <v>67185.9859482549</v>
      </c>
      <c r="H330" s="28" t="n">
        <f aca="false">D330*03_Inputs_Assumptions!$B$13*01_Macro_Data!$B$97*($G$7-1)+D330*04_Baseline_PnL!$B$15*04_Baseline_PnL!$B$13*03_Inputs_Assumptions!$B$15*($H$7-1)</f>
        <v>154527.337997178</v>
      </c>
      <c r="I330" s="16" t="n">
        <f aca="false">G330+H330</f>
        <v>221713.323945433</v>
      </c>
    </row>
    <row r="331" customFormat="false" ht="15" hidden="false" customHeight="true" outlineLevel="0" collapsed="false">
      <c r="A331" s="4" t="s">
        <v>303</v>
      </c>
      <c r="B331" s="4" t="n">
        <v>21</v>
      </c>
      <c r="C331" s="24" t="n">
        <f aca="true">RAND()</f>
        <v>0.985537578346776</v>
      </c>
      <c r="D331" s="25" t="n">
        <f aca="false">IF(C331&lt;(($C$7-$B$7)/($D$7-$B$7)),$B$7+SQRT(C331*($D$7-$B$7)*($C$7-$B$7)),$D$7-SQRT((1-C331)*($D$7-$B$7)*($D$7-$C$7)))</f>
        <v>27.8894489181275</v>
      </c>
      <c r="E331" s="26" t="n">
        <f aca="true">MAX(0,$E$7+$F$7*_xlfn.NORM.S.INV(RAND()))</f>
        <v>3.435470594486</v>
      </c>
      <c r="F331" s="27" t="n">
        <f aca="false">1/(1+EXP(-03_Inputs_Assumptions!$B$14*(E331-03_Inputs_Assumptions!$B$5)))</f>
        <v>0.0122351422077746</v>
      </c>
      <c r="G331" s="28" t="n">
        <f aca="false">D331*04_Baseline_PnL!$B$15*F331*04_Baseline_PnL!$B$14</f>
        <v>97574.9720678717</v>
      </c>
      <c r="H331" s="28" t="n">
        <f aca="false">D331*03_Inputs_Assumptions!$B$13*01_Macro_Data!$B$97*($G$7-1)+D331*04_Baseline_PnL!$B$15*04_Baseline_PnL!$B$13*03_Inputs_Assumptions!$B$15*($H$7-1)</f>
        <v>283936.901545673</v>
      </c>
      <c r="I331" s="16" t="n">
        <f aca="false">G331+H331</f>
        <v>381511.873613545</v>
      </c>
    </row>
    <row r="332" customFormat="false" ht="15" hidden="false" customHeight="true" outlineLevel="0" collapsed="false">
      <c r="A332" s="4" t="s">
        <v>303</v>
      </c>
      <c r="B332" s="4" t="n">
        <v>22</v>
      </c>
      <c r="C332" s="24" t="n">
        <f aca="true">RAND()</f>
        <v>0.206042173111133</v>
      </c>
      <c r="D332" s="25" t="n">
        <f aca="false">IF(C332&lt;(($C$7-$B$7)/($D$7-$B$7)),$B$7+SQRT(C332*($D$7-$B$7)*($C$7-$B$7)),$D$7-SQRT((1-C332)*($D$7-$B$7)*($D$7-$C$7)))</f>
        <v>14.0219118614904</v>
      </c>
      <c r="E332" s="26" t="n">
        <f aca="true">MAX(0,$E$7+$F$7*_xlfn.NORM.S.INV(RAND()))</f>
        <v>1.63896003674749</v>
      </c>
      <c r="F332" s="27" t="n">
        <f aca="false">1/(1+EXP(-03_Inputs_Assumptions!$B$14*(E332-03_Inputs_Assumptions!$B$5)))</f>
        <v>0.00784299965642777</v>
      </c>
      <c r="G332" s="28" t="n">
        <f aca="false">D332*04_Baseline_PnL!$B$15*F332*04_Baseline_PnL!$B$14</f>
        <v>31446.9775151577</v>
      </c>
      <c r="H332" s="28" t="n">
        <f aca="false">D332*03_Inputs_Assumptions!$B$13*01_Macro_Data!$B$97*($G$7-1)+D332*04_Baseline_PnL!$B$15*04_Baseline_PnL!$B$13*03_Inputs_Assumptions!$B$15*($H$7-1)</f>
        <v>142754.280279462</v>
      </c>
      <c r="I332" s="16" t="n">
        <f aca="false">G332+H332</f>
        <v>174201.25779462</v>
      </c>
    </row>
    <row r="333" customFormat="false" ht="15" hidden="false" customHeight="true" outlineLevel="0" collapsed="false">
      <c r="A333" s="4" t="s">
        <v>303</v>
      </c>
      <c r="B333" s="4" t="n">
        <v>23</v>
      </c>
      <c r="C333" s="24" t="n">
        <f aca="true">RAND()</f>
        <v>0.36414229576249</v>
      </c>
      <c r="D333" s="25" t="n">
        <f aca="false">IF(C333&lt;(($C$7-$B$7)/($D$7-$B$7)),$B$7+SQRT(C333*($D$7-$B$7)*($C$7-$B$7)),$D$7-SQRT((1-C333)*($D$7-$B$7)*($D$7-$C$7)))</f>
        <v>16.0055663599718</v>
      </c>
      <c r="E333" s="26" t="n">
        <f aca="true">MAX(0,$E$7+$F$7*_xlfn.NORM.S.INV(RAND()))</f>
        <v>5.23690919840677</v>
      </c>
      <c r="F333" s="27" t="n">
        <f aca="false">1/(1+EXP(-03_Inputs_Assumptions!$B$14*(E333-03_Inputs_Assumptions!$B$5)))</f>
        <v>0.0190627429455543</v>
      </c>
      <c r="G333" s="28" t="n">
        <f aca="false">D333*04_Baseline_PnL!$B$15*F333*04_Baseline_PnL!$B$14</f>
        <v>87246.0792255197</v>
      </c>
      <c r="H333" s="28" t="n">
        <f aca="false">D333*03_Inputs_Assumptions!$B$13*01_Macro_Data!$B$97*($G$7-1)+D333*04_Baseline_PnL!$B$15*04_Baseline_PnL!$B$13*03_Inputs_Assumptions!$B$15*($H$7-1)</f>
        <v>162949.469997601</v>
      </c>
      <c r="I333" s="16" t="n">
        <f aca="false">G333+H333</f>
        <v>250195.549223121</v>
      </c>
    </row>
    <row r="334" customFormat="false" ht="15" hidden="false" customHeight="true" outlineLevel="0" collapsed="false">
      <c r="A334" s="4" t="s">
        <v>303</v>
      </c>
      <c r="B334" s="4" t="n">
        <v>24</v>
      </c>
      <c r="C334" s="24" t="n">
        <f aca="true">RAND()</f>
        <v>0.597647518133847</v>
      </c>
      <c r="D334" s="25" t="n">
        <f aca="false">IF(C334&lt;(($C$7-$B$7)/($D$7-$B$7)),$B$7+SQRT(C334*($D$7-$B$7)*($C$7-$B$7)),$D$7-SQRT((1-C334)*($D$7-$B$7)*($D$7-$C$7)))</f>
        <v>18.8678589474093</v>
      </c>
      <c r="E334" s="26" t="n">
        <f aca="true">MAX(0,$E$7+$F$7*_xlfn.NORM.S.INV(RAND()))</f>
        <v>4.63505038983834</v>
      </c>
      <c r="F334" s="27" t="n">
        <f aca="false">1/(1+EXP(-03_Inputs_Assumptions!$B$14*(E334-03_Inputs_Assumptions!$B$5)))</f>
        <v>0.0164436199916975</v>
      </c>
      <c r="G334" s="28" t="n">
        <f aca="false">D334*04_Baseline_PnL!$B$15*F334*04_Baseline_PnL!$B$14</f>
        <v>88717.5487666392</v>
      </c>
      <c r="H334" s="28" t="n">
        <f aca="false">D334*03_Inputs_Assumptions!$B$13*01_Macro_Data!$B$97*($G$7-1)+D334*04_Baseline_PnL!$B$15*04_Baseline_PnL!$B$13*03_Inputs_Assumptions!$B$15*($H$7-1)</f>
        <v>192089.898371785</v>
      </c>
      <c r="I334" s="16" t="n">
        <f aca="false">G334+H334</f>
        <v>280807.447138424</v>
      </c>
    </row>
    <row r="335" customFormat="false" ht="15" hidden="false" customHeight="true" outlineLevel="0" collapsed="false">
      <c r="A335" s="4" t="s">
        <v>303</v>
      </c>
      <c r="B335" s="4" t="n">
        <v>25</v>
      </c>
      <c r="C335" s="24" t="n">
        <f aca="true">RAND()</f>
        <v>0.79121900315334</v>
      </c>
      <c r="D335" s="25" t="n">
        <f aca="false">IF(C335&lt;(($C$7-$B$7)/($D$7-$B$7)),$B$7+SQRT(C335*($D$7-$B$7)*($C$7-$B$7)),$D$7-SQRT((1-C335)*($D$7-$B$7)*($D$7-$C$7)))</f>
        <v>21.9809884007584</v>
      </c>
      <c r="E335" s="26" t="n">
        <f aca="true">MAX(0,$E$7+$F$7*_xlfn.NORM.S.INV(RAND()))</f>
        <v>3.06128579855272</v>
      </c>
      <c r="F335" s="27" t="n">
        <f aca="false">1/(1+EXP(-03_Inputs_Assumptions!$B$14*(E335-03_Inputs_Assumptions!$B$5)))</f>
        <v>0.0111546825131241</v>
      </c>
      <c r="G335" s="28" t="n">
        <f aca="false">D335*04_Baseline_PnL!$B$15*F335*04_Baseline_PnL!$B$14</f>
        <v>70112.2512429077</v>
      </c>
      <c r="H335" s="28" t="n">
        <f aca="false">D335*03_Inputs_Assumptions!$B$13*01_Macro_Data!$B$97*($G$7-1)+D335*04_Baseline_PnL!$B$15*04_Baseline_PnL!$B$13*03_Inputs_Assumptions!$B$15*($H$7-1)</f>
        <v>223784.046710441</v>
      </c>
      <c r="I335" s="16" t="n">
        <f aca="false">G335+H335</f>
        <v>293896.297953349</v>
      </c>
    </row>
    <row r="336" customFormat="false" ht="15" hidden="false" customHeight="true" outlineLevel="0" collapsed="false">
      <c r="A336" s="4" t="s">
        <v>303</v>
      </c>
      <c r="B336" s="4" t="n">
        <v>26</v>
      </c>
      <c r="C336" s="24" t="n">
        <f aca="true">RAND()</f>
        <v>0.129468580505334</v>
      </c>
      <c r="D336" s="25" t="n">
        <f aca="false">IF(C336&lt;(($C$7-$B$7)/($D$7-$B$7)),$B$7+SQRT(C336*($D$7-$B$7)*($C$7-$B$7)),$D$7-SQRT((1-C336)*($D$7-$B$7)*($D$7-$C$7)))</f>
        <v>12.7735175886278</v>
      </c>
      <c r="E336" s="26" t="n">
        <f aca="true">MAX(0,$E$7+$F$7*_xlfn.NORM.S.INV(RAND()))</f>
        <v>4.4794315332737</v>
      </c>
      <c r="F336" s="27" t="n">
        <f aca="false">1/(1+EXP(-03_Inputs_Assumptions!$B$14*(E336-03_Inputs_Assumptions!$B$5)))</f>
        <v>0.0158261002572377</v>
      </c>
      <c r="G336" s="28" t="n">
        <f aca="false">D336*04_Baseline_PnL!$B$15*F336*04_Baseline_PnL!$B$14</f>
        <v>57806.1311947907</v>
      </c>
      <c r="H336" s="28" t="n">
        <f aca="false">D336*03_Inputs_Assumptions!$B$13*01_Macro_Data!$B$97*($G$7-1)+D336*04_Baseline_PnL!$B$15*04_Baseline_PnL!$B$13*03_Inputs_Assumptions!$B$15*($H$7-1)</f>
        <v>130044.627866302</v>
      </c>
      <c r="I336" s="16" t="n">
        <f aca="false">G336+H336</f>
        <v>187850.759061093</v>
      </c>
    </row>
    <row r="337" customFormat="false" ht="15" hidden="false" customHeight="true" outlineLevel="0" collapsed="false">
      <c r="A337" s="4" t="s">
        <v>303</v>
      </c>
      <c r="B337" s="4" t="n">
        <v>27</v>
      </c>
      <c r="C337" s="24" t="n">
        <f aca="true">RAND()</f>
        <v>0.378600263851598</v>
      </c>
      <c r="D337" s="25" t="n">
        <f aca="false">IF(C337&lt;(($C$7-$B$7)/($D$7-$B$7)),$B$7+SQRT(C337*($D$7-$B$7)*($C$7-$B$7)),$D$7-SQRT((1-C337)*($D$7-$B$7)*($D$7-$C$7)))</f>
        <v>16.1655820963183</v>
      </c>
      <c r="E337" s="26" t="n">
        <f aca="true">MAX(0,$E$7+$F$7*_xlfn.NORM.S.INV(RAND()))</f>
        <v>0</v>
      </c>
      <c r="F337" s="27" t="n">
        <f aca="false">1/(1+EXP(-03_Inputs_Assumptions!$B$14*(E337-03_Inputs_Assumptions!$B$5)))</f>
        <v>0.0052201256935584</v>
      </c>
      <c r="G337" s="28" t="n">
        <f aca="false">D337*04_Baseline_PnL!$B$15*F337*04_Baseline_PnL!$B$14</f>
        <v>24130.2482028243</v>
      </c>
      <c r="H337" s="28" t="n">
        <f aca="false">D337*03_Inputs_Assumptions!$B$13*01_Macro_Data!$B$97*($G$7-1)+D337*04_Baseline_PnL!$B$15*04_Baseline_PnL!$B$13*03_Inputs_Assumptions!$B$15*($H$7-1)</f>
        <v>164578.558206198</v>
      </c>
      <c r="I337" s="16" t="n">
        <f aca="false">G337+H337</f>
        <v>188708.806409022</v>
      </c>
    </row>
    <row r="338" customFormat="false" ht="15" hidden="false" customHeight="true" outlineLevel="0" collapsed="false">
      <c r="A338" s="4" t="s">
        <v>303</v>
      </c>
      <c r="B338" s="4" t="n">
        <v>28</v>
      </c>
      <c r="C338" s="24" t="n">
        <f aca="true">RAND()</f>
        <v>0.0569360325194456</v>
      </c>
      <c r="D338" s="25" t="n">
        <f aca="false">IF(C338&lt;(($C$7-$B$7)/($D$7-$B$7)),$B$7+SQRT(C338*($D$7-$B$7)*($C$7-$B$7)),$D$7-SQRT((1-C338)*($D$7-$B$7)*($D$7-$C$7)))</f>
        <v>11.1655555157701</v>
      </c>
      <c r="E338" s="26" t="n">
        <f aca="true">MAX(0,$E$7+$F$7*_xlfn.NORM.S.INV(RAND()))</f>
        <v>5.75319137506093</v>
      </c>
      <c r="F338" s="27" t="n">
        <f aca="false">1/(1+EXP(-03_Inputs_Assumptions!$B$14*(E338-03_Inputs_Assumptions!$B$5)))</f>
        <v>0.0216322120920224</v>
      </c>
      <c r="G338" s="28" t="n">
        <f aca="false">D338*04_Baseline_PnL!$B$15*F338*04_Baseline_PnL!$B$14</f>
        <v>69067.0248769647</v>
      </c>
      <c r="H338" s="28" t="n">
        <f aca="false">D338*03_Inputs_Assumptions!$B$13*01_Macro_Data!$B$97*($G$7-1)+D338*04_Baseline_PnL!$B$15*04_Baseline_PnL!$B$13*03_Inputs_Assumptions!$B$15*($H$7-1)</f>
        <v>113674.287594952</v>
      </c>
      <c r="I338" s="16" t="n">
        <f aca="false">G338+H338</f>
        <v>182741.312471917</v>
      </c>
    </row>
    <row r="339" customFormat="false" ht="15" hidden="false" customHeight="true" outlineLevel="0" collapsed="false">
      <c r="A339" s="4" t="s">
        <v>303</v>
      </c>
      <c r="B339" s="4" t="n">
        <v>29</v>
      </c>
      <c r="C339" s="24" t="n">
        <f aca="true">RAND()</f>
        <v>0.126920822927942</v>
      </c>
      <c r="D339" s="25" t="n">
        <f aca="false">IF(C339&lt;(($C$7-$B$7)/($D$7-$B$7)),$B$7+SQRT(C339*($D$7-$B$7)*($C$7-$B$7)),$D$7-SQRT((1-C339)*($D$7-$B$7)*($D$7-$C$7)))</f>
        <v>12.7263162013684</v>
      </c>
      <c r="E339" s="26" t="n">
        <f aca="true">MAX(0,$E$7+$F$7*_xlfn.NORM.S.INV(RAND()))</f>
        <v>2.90498820747077</v>
      </c>
      <c r="F339" s="27" t="n">
        <f aca="false">1/(1+EXP(-03_Inputs_Assumptions!$B$14*(E339-03_Inputs_Assumptions!$B$5)))</f>
        <v>0.0107318130924951</v>
      </c>
      <c r="G339" s="28" t="n">
        <f aca="false">D339*04_Baseline_PnL!$B$15*F339*04_Baseline_PnL!$B$14</f>
        <v>39053.979250211</v>
      </c>
      <c r="H339" s="28" t="n">
        <f aca="false">D339*03_Inputs_Assumptions!$B$13*01_Macro_Data!$B$97*($G$7-1)+D339*04_Baseline_PnL!$B$15*04_Baseline_PnL!$B$13*03_Inputs_Assumptions!$B$15*($H$7-1)</f>
        <v>129564.079982892</v>
      </c>
      <c r="I339" s="16" t="n">
        <f aca="false">G339+H339</f>
        <v>168618.059233103</v>
      </c>
    </row>
    <row r="340" customFormat="false" ht="15" hidden="false" customHeight="true" outlineLevel="0" collapsed="false">
      <c r="A340" s="4" t="s">
        <v>303</v>
      </c>
      <c r="B340" s="4" t="n">
        <v>30</v>
      </c>
      <c r="C340" s="24" t="n">
        <f aca="true">RAND()</f>
        <v>0.596417893218505</v>
      </c>
      <c r="D340" s="25" t="n">
        <f aca="false">IF(C340&lt;(($C$7-$B$7)/($D$7-$B$7)),$B$7+SQRT(C340*($D$7-$B$7)*($C$7-$B$7)),$D$7-SQRT((1-C340)*($D$7-$B$7)*($D$7-$C$7)))</f>
        <v>18.8508615180947</v>
      </c>
      <c r="E340" s="26" t="n">
        <f aca="true">MAX(0,$E$7+$F$7*_xlfn.NORM.S.INV(RAND()))</f>
        <v>0.837491031745302</v>
      </c>
      <c r="F340" s="27" t="n">
        <f aca="false">1/(1+EXP(-03_Inputs_Assumptions!$B$14*(E340-03_Inputs_Assumptions!$B$5)))</f>
        <v>0.00642810116893776</v>
      </c>
      <c r="G340" s="28" t="n">
        <f aca="false">D340*04_Baseline_PnL!$B$15*F340*04_Baseline_PnL!$B$14</f>
        <v>34650.0118591277</v>
      </c>
      <c r="H340" s="28" t="n">
        <f aca="false">D340*03_Inputs_Assumptions!$B$13*01_Macro_Data!$B$97*($G$7-1)+D340*04_Baseline_PnL!$B$15*04_Baseline_PnL!$B$13*03_Inputs_Assumptions!$B$15*($H$7-1)</f>
        <v>191916.850943419</v>
      </c>
      <c r="I340" s="16" t="n">
        <f aca="false">G340+H340</f>
        <v>226566.862802547</v>
      </c>
    </row>
    <row r="341" customFormat="false" ht="15" hidden="false" customHeight="true" outlineLevel="0" collapsed="false">
      <c r="A341" s="4" t="s">
        <v>303</v>
      </c>
      <c r="B341" s="4" t="n">
        <v>31</v>
      </c>
      <c r="C341" s="24" t="n">
        <f aca="true">RAND()</f>
        <v>0.415623444676025</v>
      </c>
      <c r="D341" s="25" t="n">
        <f aca="false">IF(C341&lt;(($C$7-$B$7)/($D$7-$B$7)),$B$7+SQRT(C341*($D$7-$B$7)*($C$7-$B$7)),$D$7-SQRT((1-C341)*($D$7-$B$7)*($D$7-$C$7)))</f>
        <v>16.5840401372178</v>
      </c>
      <c r="E341" s="26" t="n">
        <f aca="true">MAX(0,$E$7+$F$7*_xlfn.NORM.S.INV(RAND()))</f>
        <v>4.5188830597428</v>
      </c>
      <c r="F341" s="27" t="n">
        <f aca="false">1/(1+EXP(-03_Inputs_Assumptions!$B$14*(E341-03_Inputs_Assumptions!$B$5)))</f>
        <v>0.0159804567544697</v>
      </c>
      <c r="G341" s="28" t="n">
        <f aca="false">D341*04_Baseline_PnL!$B$15*F341*04_Baseline_PnL!$B$14</f>
        <v>75782.5142108852</v>
      </c>
      <c r="H341" s="28" t="n">
        <f aca="false">D341*03_Inputs_Assumptions!$B$13*01_Macro_Data!$B$97*($G$7-1)+D341*04_Baseline_PnL!$B$15*04_Baseline_PnL!$B$13*03_Inputs_Assumptions!$B$15*($H$7-1)</f>
        <v>168838.795828987</v>
      </c>
      <c r="I341" s="16" t="n">
        <f aca="false">G341+H341</f>
        <v>244621.310039872</v>
      </c>
    </row>
    <row r="342" customFormat="false" ht="15" hidden="false" customHeight="true" outlineLevel="0" collapsed="false">
      <c r="A342" s="4" t="s">
        <v>303</v>
      </c>
      <c r="B342" s="4" t="n">
        <v>32</v>
      </c>
      <c r="C342" s="24" t="n">
        <f aca="true">RAND()</f>
        <v>0.270703313772541</v>
      </c>
      <c r="D342" s="25" t="n">
        <f aca="false">IF(C342&lt;(($C$7-$B$7)/($D$7-$B$7)),$B$7+SQRT(C342*($D$7-$B$7)*($C$7-$B$7)),$D$7-SQRT((1-C342)*($D$7-$B$7)*($D$7-$C$7)))</f>
        <v>14.9024476255867</v>
      </c>
      <c r="E342" s="26" t="n">
        <f aca="true">MAX(0,$E$7+$F$7*_xlfn.NORM.S.INV(RAND()))</f>
        <v>4.97878032409425</v>
      </c>
      <c r="F342" s="27" t="n">
        <f aca="false">1/(1+EXP(-03_Inputs_Assumptions!$B$14*(E342-03_Inputs_Assumptions!$B$5)))</f>
        <v>0.0178927499373111</v>
      </c>
      <c r="G342" s="28" t="n">
        <f aca="false">D342*04_Baseline_PnL!$B$15*F342*04_Baseline_PnL!$B$14</f>
        <v>76247.2488073035</v>
      </c>
      <c r="H342" s="28" t="n">
        <f aca="false">D342*03_Inputs_Assumptions!$B$13*01_Macro_Data!$B$97*($G$7-1)+D342*04_Baseline_PnL!$B$15*04_Baseline_PnL!$B$13*03_Inputs_Assumptions!$B$15*($H$7-1)</f>
        <v>151718.838786573</v>
      </c>
      <c r="I342" s="16" t="n">
        <f aca="false">G342+H342</f>
        <v>227966.087593876</v>
      </c>
    </row>
    <row r="343" customFormat="false" ht="15" hidden="false" customHeight="true" outlineLevel="0" collapsed="false">
      <c r="A343" s="4" t="s">
        <v>303</v>
      </c>
      <c r="B343" s="4" t="n">
        <v>33</v>
      </c>
      <c r="C343" s="24" t="n">
        <f aca="true">RAND()</f>
        <v>0.472510973886498</v>
      </c>
      <c r="D343" s="25" t="n">
        <f aca="false">IF(C343&lt;(($C$7-$B$7)/($D$7-$B$7)),$B$7+SQRT(C343*($D$7-$B$7)*($C$7-$B$7)),$D$7-SQRT((1-C343)*($D$7-$B$7)*($D$7-$C$7)))</f>
        <v>17.2537605528941</v>
      </c>
      <c r="E343" s="26" t="n">
        <f aca="true">MAX(0,$E$7+$F$7*_xlfn.NORM.S.INV(RAND()))</f>
        <v>3.28267861365034</v>
      </c>
      <c r="F343" s="27" t="n">
        <f aca="false">1/(1+EXP(-03_Inputs_Assumptions!$B$14*(E343-03_Inputs_Assumptions!$B$5)))</f>
        <v>0.0117820003667032</v>
      </c>
      <c r="G343" s="28" t="n">
        <f aca="false">D343*04_Baseline_PnL!$B$15*F343*04_Baseline_PnL!$B$14</f>
        <v>58128.9234375609</v>
      </c>
      <c r="H343" s="28" t="n">
        <f aca="false">D343*03_Inputs_Assumptions!$B$13*01_Macro_Data!$B$97*($G$7-1)+D343*04_Baseline_PnL!$B$15*04_Baseline_PnL!$B$13*03_Inputs_Assumptions!$B$15*($H$7-1)</f>
        <v>175657.085436904</v>
      </c>
      <c r="I343" s="16" t="n">
        <f aca="false">G343+H343</f>
        <v>233786.008874465</v>
      </c>
    </row>
    <row r="344" customFormat="false" ht="15" hidden="false" customHeight="true" outlineLevel="0" collapsed="false">
      <c r="A344" s="4" t="s">
        <v>303</v>
      </c>
      <c r="B344" s="4" t="n">
        <v>34</v>
      </c>
      <c r="C344" s="24" t="n">
        <f aca="true">RAND()</f>
        <v>0.72735052459109</v>
      </c>
      <c r="D344" s="25" t="n">
        <f aca="false">IF(C344&lt;(($C$7-$B$7)/($D$7-$B$7)),$B$7+SQRT(C344*($D$7-$B$7)*($C$7-$B$7)),$D$7-SQRT((1-C344)*($D$7-$B$7)*($D$7-$C$7)))</f>
        <v>20.8361559143586</v>
      </c>
      <c r="E344" s="26" t="n">
        <f aca="true">MAX(0,$E$7+$F$7*_xlfn.NORM.S.INV(RAND()))</f>
        <v>1.67704598774295</v>
      </c>
      <c r="F344" s="27" t="n">
        <f aca="false">1/(1+EXP(-03_Inputs_Assumptions!$B$14*(E344-03_Inputs_Assumptions!$B$5)))</f>
        <v>0.00791743925624681</v>
      </c>
      <c r="G344" s="28" t="n">
        <f aca="false">D344*04_Baseline_PnL!$B$15*F344*04_Baseline_PnL!$B$14</f>
        <v>47172.8178985696</v>
      </c>
      <c r="H344" s="28" t="n">
        <f aca="false">D344*03_Inputs_Assumptions!$B$13*01_Macro_Data!$B$97*($G$7-1)+D344*04_Baseline_PnL!$B$15*04_Baseline_PnL!$B$13*03_Inputs_Assumptions!$B$15*($H$7-1)</f>
        <v>212128.736132902</v>
      </c>
      <c r="I344" s="16" t="n">
        <f aca="false">G344+H344</f>
        <v>259301.554031472</v>
      </c>
    </row>
    <row r="345" customFormat="false" ht="15" hidden="false" customHeight="true" outlineLevel="0" collapsed="false">
      <c r="A345" s="4" t="s">
        <v>303</v>
      </c>
      <c r="B345" s="4" t="n">
        <v>35</v>
      </c>
      <c r="C345" s="24" t="n">
        <f aca="true">RAND()</f>
        <v>0.75807936034895</v>
      </c>
      <c r="D345" s="25" t="n">
        <f aca="false">IF(C345&lt;(($C$7-$B$7)/($D$7-$B$7)),$B$7+SQRT(C345*($D$7-$B$7)*($C$7-$B$7)),$D$7-SQRT((1-C345)*($D$7-$B$7)*($D$7-$C$7)))</f>
        <v>21.3679922953855</v>
      </c>
      <c r="E345" s="26" t="n">
        <f aca="true">MAX(0,$E$7+$F$7*_xlfn.NORM.S.INV(RAND()))</f>
        <v>4.90809267416926</v>
      </c>
      <c r="F345" s="27" t="n">
        <f aca="false">1/(1+EXP(-03_Inputs_Assumptions!$B$14*(E345-03_Inputs_Assumptions!$B$5)))</f>
        <v>0.0175848398305487</v>
      </c>
      <c r="G345" s="28" t="n">
        <f aca="false">D345*04_Baseline_PnL!$B$15*F345*04_Baseline_PnL!$B$14</f>
        <v>107446.337560234</v>
      </c>
      <c r="H345" s="28" t="n">
        <f aca="false">D345*03_Inputs_Assumptions!$B$13*01_Macro_Data!$B$97*($G$7-1)+D345*04_Baseline_PnL!$B$15*04_Baseline_PnL!$B$13*03_Inputs_Assumptions!$B$15*($H$7-1)</f>
        <v>217543.255960861</v>
      </c>
      <c r="I345" s="16" t="n">
        <f aca="false">G345+H345</f>
        <v>324989.593521095</v>
      </c>
    </row>
    <row r="346" customFormat="false" ht="15" hidden="false" customHeight="true" outlineLevel="0" collapsed="false">
      <c r="A346" s="4" t="s">
        <v>303</v>
      </c>
      <c r="B346" s="4" t="n">
        <v>36</v>
      </c>
      <c r="C346" s="24" t="n">
        <f aca="true">RAND()</f>
        <v>0.533962569495084</v>
      </c>
      <c r="D346" s="25" t="n">
        <f aca="false">IF(C346&lt;(($C$7-$B$7)/($D$7-$B$7)),$B$7+SQRT(C346*($D$7-$B$7)*($C$7-$B$7)),$D$7-SQRT((1-C346)*($D$7-$B$7)*($D$7-$C$7)))</f>
        <v>18.0192016711943</v>
      </c>
      <c r="E346" s="26" t="n">
        <f aca="true">MAX(0,$E$7+$F$7*_xlfn.NORM.S.INV(RAND()))</f>
        <v>3.71257396370857</v>
      </c>
      <c r="F346" s="27" t="n">
        <f aca="false">1/(1+EXP(-03_Inputs_Assumptions!$B$14*(E346-03_Inputs_Assumptions!$B$5)))</f>
        <v>0.0131012926161792</v>
      </c>
      <c r="G346" s="28" t="n">
        <f aca="false">D346*04_Baseline_PnL!$B$15*F346*04_Baseline_PnL!$B$14</f>
        <v>67505.5024123363</v>
      </c>
      <c r="H346" s="28" t="n">
        <f aca="false">D346*03_Inputs_Assumptions!$B$13*01_Macro_Data!$B$97*($G$7-1)+D346*04_Baseline_PnL!$B$15*04_Baseline_PnL!$B$13*03_Inputs_Assumptions!$B$15*($H$7-1)</f>
        <v>183449.888374095</v>
      </c>
      <c r="I346" s="16" t="n">
        <f aca="false">G346+H346</f>
        <v>250955.390786431</v>
      </c>
    </row>
    <row r="347" customFormat="false" ht="15" hidden="false" customHeight="true" outlineLevel="0" collapsed="false">
      <c r="A347" s="4" t="s">
        <v>303</v>
      </c>
      <c r="B347" s="4" t="n">
        <v>37</v>
      </c>
      <c r="C347" s="24" t="n">
        <f aca="true">RAND()</f>
        <v>0.913330783882491</v>
      </c>
      <c r="D347" s="25" t="n">
        <f aca="false">IF(C347&lt;(($C$7-$B$7)/($D$7-$B$7)),$B$7+SQRT(C347*($D$7-$B$7)*($C$7-$B$7)),$D$7-SQRT((1-C347)*($D$7-$B$7)*($D$7-$C$7)))</f>
        <v>24.8333648702281</v>
      </c>
      <c r="E347" s="26" t="n">
        <f aca="true">MAX(0,$E$7+$F$7*_xlfn.NORM.S.INV(RAND()))</f>
        <v>4.628093354486</v>
      </c>
      <c r="F347" s="27" t="n">
        <f aca="false">1/(1+EXP(-03_Inputs_Assumptions!$B$14*(E347-03_Inputs_Assumptions!$B$5)))</f>
        <v>0.0164155142079671</v>
      </c>
      <c r="G347" s="28" t="n">
        <f aca="false">D347*04_Baseline_PnL!$B$15*F347*04_Baseline_PnL!$B$14</f>
        <v>116568.052866579</v>
      </c>
      <c r="H347" s="28" t="n">
        <f aca="false">D347*03_Inputs_Assumptions!$B$13*01_Macro_Data!$B$97*($G$7-1)+D347*04_Baseline_PnL!$B$15*04_Baseline_PnL!$B$13*03_Inputs_Assumptions!$B$15*($H$7-1)</f>
        <v>252823.521070819</v>
      </c>
      <c r="I347" s="16" t="n">
        <f aca="false">G347+H347</f>
        <v>369391.573937398</v>
      </c>
    </row>
    <row r="348" customFormat="false" ht="15" hidden="false" customHeight="true" outlineLevel="0" collapsed="false">
      <c r="A348" s="4" t="s">
        <v>303</v>
      </c>
      <c r="B348" s="4" t="n">
        <v>38</v>
      </c>
      <c r="C348" s="24" t="n">
        <f aca="true">RAND()</f>
        <v>0.54530072647539</v>
      </c>
      <c r="D348" s="25" t="n">
        <f aca="false">IF(C348&lt;(($C$7-$B$7)/($D$7-$B$7)),$B$7+SQRT(C348*($D$7-$B$7)*($C$7-$B$7)),$D$7-SQRT((1-C348)*($D$7-$B$7)*($D$7-$C$7)))</f>
        <v>18.1658385913669</v>
      </c>
      <c r="E348" s="26" t="n">
        <f aca="true">MAX(0,$E$7+$F$7*_xlfn.NORM.S.INV(RAND()))</f>
        <v>3.43684066246341</v>
      </c>
      <c r="F348" s="27" t="n">
        <f aca="false">1/(1+EXP(-03_Inputs_Assumptions!$B$14*(E348-03_Inputs_Assumptions!$B$5)))</f>
        <v>0.0122392823692057</v>
      </c>
      <c r="G348" s="28" t="n">
        <f aca="false">D348*04_Baseline_PnL!$B$15*F348*04_Baseline_PnL!$B$14</f>
        <v>63577.1252554921</v>
      </c>
      <c r="H348" s="28" t="n">
        <f aca="false">D348*03_Inputs_Assumptions!$B$13*01_Macro_Data!$B$97*($G$7-1)+D348*04_Baseline_PnL!$B$15*04_Baseline_PnL!$B$13*03_Inputs_Assumptions!$B$15*($H$7-1)</f>
        <v>184942.769530989</v>
      </c>
      <c r="I348" s="16" t="n">
        <f aca="false">G348+H348</f>
        <v>248519.894786481</v>
      </c>
    </row>
    <row r="349" customFormat="false" ht="15" hidden="false" customHeight="true" outlineLevel="0" collapsed="false">
      <c r="A349" s="4" t="s">
        <v>303</v>
      </c>
      <c r="B349" s="4" t="n">
        <v>39</v>
      </c>
      <c r="C349" s="24" t="n">
        <f aca="true">RAND()</f>
        <v>0.600029360351412</v>
      </c>
      <c r="D349" s="25" t="n">
        <f aca="false">IF(C349&lt;(($C$7-$B$7)/($D$7-$B$7)),$B$7+SQRT(C349*($D$7-$B$7)*($C$7-$B$7)),$D$7-SQRT((1-C349)*($D$7-$B$7)*($D$7-$C$7)))</f>
        <v>18.9008578254099</v>
      </c>
      <c r="E349" s="26" t="n">
        <f aca="true">MAX(0,$E$7+$F$7*_xlfn.NORM.S.INV(RAND()))</f>
        <v>1.7445022145269</v>
      </c>
      <c r="F349" s="27" t="n">
        <f aca="false">1/(1+EXP(-03_Inputs_Assumptions!$B$14*(E349-03_Inputs_Assumptions!$B$5)))</f>
        <v>0.00805100751489497</v>
      </c>
      <c r="G349" s="28" t="n">
        <f aca="false">D349*04_Baseline_PnL!$B$15*F349*04_Baseline_PnL!$B$14</f>
        <v>43513.2206093961</v>
      </c>
      <c r="H349" s="28" t="n">
        <f aca="false">D349*03_Inputs_Assumptions!$B$13*01_Macro_Data!$B$97*($G$7-1)+D349*04_Baseline_PnL!$B$15*04_Baseline_PnL!$B$13*03_Inputs_Assumptions!$B$15*($H$7-1)</f>
        <v>192425.853348933</v>
      </c>
      <c r="I349" s="16" t="n">
        <f aca="false">G349+H349</f>
        <v>235939.073958329</v>
      </c>
    </row>
    <row r="350" customFormat="false" ht="15" hidden="false" customHeight="true" outlineLevel="0" collapsed="false">
      <c r="A350" s="4" t="s">
        <v>303</v>
      </c>
      <c r="B350" s="4" t="n">
        <v>40</v>
      </c>
      <c r="C350" s="24" t="n">
        <f aca="true">RAND()</f>
        <v>0.133998930342611</v>
      </c>
      <c r="D350" s="25" t="n">
        <f aca="false">IF(C350&lt;(($C$7-$B$7)/($D$7-$B$7)),$B$7+SQRT(C350*($D$7-$B$7)*($C$7-$B$7)),$D$7-SQRT((1-C350)*($D$7-$B$7)*($D$7-$C$7)))</f>
        <v>12.8563166845151</v>
      </c>
      <c r="E350" s="26" t="n">
        <f aca="true">MAX(0,$E$7+$F$7*_xlfn.NORM.S.INV(RAND()))</f>
        <v>1.94919685430173</v>
      </c>
      <c r="F350" s="27" t="n">
        <f aca="false">1/(1+EXP(-03_Inputs_Assumptions!$B$14*(E350-03_Inputs_Assumptions!$B$5)))</f>
        <v>0.00847015041078243</v>
      </c>
      <c r="G350" s="28" t="n">
        <f aca="false">D350*04_Baseline_PnL!$B$15*F350*04_Baseline_PnL!$B$14</f>
        <v>31138.4625354553</v>
      </c>
      <c r="H350" s="28" t="n">
        <f aca="false">D350*03_Inputs_Assumptions!$B$13*01_Macro_Data!$B$97*($G$7-1)+D350*04_Baseline_PnL!$B$15*04_Baseline_PnL!$B$13*03_Inputs_Assumptions!$B$15*($H$7-1)</f>
        <v>130887.588901711</v>
      </c>
      <c r="I350" s="16" t="n">
        <f aca="false">G350+H350</f>
        <v>162026.051437167</v>
      </c>
    </row>
    <row r="351" customFormat="false" ht="15" hidden="false" customHeight="true" outlineLevel="0" collapsed="false">
      <c r="A351" s="4" t="s">
        <v>303</v>
      </c>
      <c r="B351" s="4" t="n">
        <v>41</v>
      </c>
      <c r="C351" s="24" t="n">
        <f aca="true">RAND()</f>
        <v>0.867699415952447</v>
      </c>
      <c r="D351" s="25" t="n">
        <f aca="false">IF(C351&lt;(($C$7-$B$7)/($D$7-$B$7)),$B$7+SQRT(C351*($D$7-$B$7)*($C$7-$B$7)),$D$7-SQRT((1-C351)*($D$7-$B$7)*($D$7-$C$7)))</f>
        <v>23.6165385654297</v>
      </c>
      <c r="E351" s="26" t="n">
        <f aca="true">MAX(0,$E$7+$F$7*_xlfn.NORM.S.INV(RAND()))</f>
        <v>4.22275549500055</v>
      </c>
      <c r="F351" s="27" t="n">
        <f aca="false">1/(1+EXP(-03_Inputs_Assumptions!$B$14*(E351-03_Inputs_Assumptions!$B$5)))</f>
        <v>0.0148570665570418</v>
      </c>
      <c r="G351" s="28" t="n">
        <f aca="false">D351*04_Baseline_PnL!$B$15*F351*04_Baseline_PnL!$B$14</f>
        <v>100331.844026179</v>
      </c>
      <c r="H351" s="28" t="n">
        <f aca="false">D351*03_Inputs_Assumptions!$B$13*01_Macro_Data!$B$97*($G$7-1)+D351*04_Baseline_PnL!$B$15*04_Baseline_PnL!$B$13*03_Inputs_Assumptions!$B$15*($H$7-1)</f>
        <v>240435.255826927</v>
      </c>
      <c r="I351" s="16" t="n">
        <f aca="false">G351+H351</f>
        <v>340767.099853106</v>
      </c>
    </row>
    <row r="352" customFormat="false" ht="15" hidden="false" customHeight="true" outlineLevel="0" collapsed="false">
      <c r="A352" s="4" t="s">
        <v>303</v>
      </c>
      <c r="B352" s="4" t="n">
        <v>42</v>
      </c>
      <c r="C352" s="24" t="n">
        <f aca="true">RAND()</f>
        <v>0.954351037804216</v>
      </c>
      <c r="D352" s="25" t="n">
        <f aca="false">IF(C352&lt;(($C$7-$B$7)/($D$7-$B$7)),$B$7+SQRT(C352*($D$7-$B$7)*($C$7-$B$7)),$D$7-SQRT((1-C352)*($D$7-$B$7)*($D$7-$C$7)))</f>
        <v>26.2503493020947</v>
      </c>
      <c r="E352" s="26" t="n">
        <f aca="true">MAX(0,$E$7+$F$7*_xlfn.NORM.S.INV(RAND()))</f>
        <v>0</v>
      </c>
      <c r="F352" s="27" t="n">
        <f aca="false">1/(1+EXP(-03_Inputs_Assumptions!$B$14*(E352-03_Inputs_Assumptions!$B$5)))</f>
        <v>0.0052201256935584</v>
      </c>
      <c r="G352" s="28" t="n">
        <f aca="false">D352*04_Baseline_PnL!$B$15*F352*04_Baseline_PnL!$B$14</f>
        <v>39183.707725232</v>
      </c>
      <c r="H352" s="28" t="n">
        <f aca="false">D352*03_Inputs_Assumptions!$B$13*01_Macro_Data!$B$97*($G$7-1)+D352*04_Baseline_PnL!$B$15*04_Baseline_PnL!$B$13*03_Inputs_Assumptions!$B$15*($H$7-1)</f>
        <v>267249.556174766</v>
      </c>
      <c r="I352" s="16" t="n">
        <f aca="false">G352+H352</f>
        <v>306433.263899998</v>
      </c>
    </row>
    <row r="353" customFormat="false" ht="15" hidden="false" customHeight="true" outlineLevel="0" collapsed="false">
      <c r="A353" s="4" t="s">
        <v>303</v>
      </c>
      <c r="B353" s="4" t="n">
        <v>43</v>
      </c>
      <c r="C353" s="24" t="n">
        <f aca="true">RAND()</f>
        <v>0.483578905148321</v>
      </c>
      <c r="D353" s="25" t="n">
        <f aca="false">IF(C353&lt;(($C$7-$B$7)/($D$7-$B$7)),$B$7+SQRT(C353*($D$7-$B$7)*($C$7-$B$7)),$D$7-SQRT((1-C353)*($D$7-$B$7)*($D$7-$C$7)))</f>
        <v>17.3881921512292</v>
      </c>
      <c r="E353" s="26" t="n">
        <f aca="true">MAX(0,$E$7+$F$7*_xlfn.NORM.S.INV(RAND()))</f>
        <v>3.15142922274594</v>
      </c>
      <c r="F353" s="27" t="n">
        <f aca="false">1/(1+EXP(-03_Inputs_Assumptions!$B$14*(E353-03_Inputs_Assumptions!$B$5)))</f>
        <v>0.0114060169659374</v>
      </c>
      <c r="G353" s="28" t="n">
        <f aca="false">D353*04_Baseline_PnL!$B$15*F353*04_Baseline_PnL!$B$14</f>
        <v>56712.3867840292</v>
      </c>
      <c r="H353" s="28" t="n">
        <f aca="false">D353*03_Inputs_Assumptions!$B$13*01_Macro_Data!$B$97*($G$7-1)+D353*04_Baseline_PnL!$B$15*04_Baseline_PnL!$B$13*03_Inputs_Assumptions!$B$15*($H$7-1)</f>
        <v>177025.706653234</v>
      </c>
      <c r="I353" s="16" t="n">
        <f aca="false">G353+H353</f>
        <v>233738.093437264</v>
      </c>
    </row>
    <row r="354" customFormat="false" ht="15" hidden="false" customHeight="true" outlineLevel="0" collapsed="false">
      <c r="A354" s="4" t="s">
        <v>303</v>
      </c>
      <c r="B354" s="4" t="n">
        <v>44</v>
      </c>
      <c r="C354" s="24" t="n">
        <f aca="true">RAND()</f>
        <v>0.129464057909763</v>
      </c>
      <c r="D354" s="25" t="n">
        <f aca="false">IF(C354&lt;(($C$7-$B$7)/($D$7-$B$7)),$B$7+SQRT(C354*($D$7-$B$7)*($C$7-$B$7)),$D$7-SQRT((1-C354)*($D$7-$B$7)*($D$7-$C$7)))</f>
        <v>12.7734342136577</v>
      </c>
      <c r="E354" s="26" t="n">
        <f aca="true">MAX(0,$E$7+$F$7*_xlfn.NORM.S.INV(RAND()))</f>
        <v>3.07751796882493</v>
      </c>
      <c r="F354" s="27" t="n">
        <f aca="false">1/(1+EXP(-03_Inputs_Assumptions!$B$14*(E354-03_Inputs_Assumptions!$B$5)))</f>
        <v>0.0111995326699478</v>
      </c>
      <c r="G354" s="28" t="n">
        <f aca="false">D354*04_Baseline_PnL!$B$15*F354*04_Baseline_PnL!$B$14</f>
        <v>40906.9460330331</v>
      </c>
      <c r="H354" s="28" t="n">
        <f aca="false">D354*03_Inputs_Assumptions!$B$13*01_Macro_Data!$B$97*($G$7-1)+D354*04_Baseline_PnL!$B$15*04_Baseline_PnL!$B$13*03_Inputs_Assumptions!$B$15*($H$7-1)</f>
        <v>130043.779042407</v>
      </c>
      <c r="I354" s="16" t="n">
        <f aca="false">G354+H354</f>
        <v>170950.72507544</v>
      </c>
    </row>
    <row r="355" customFormat="false" ht="15" hidden="false" customHeight="true" outlineLevel="0" collapsed="false">
      <c r="A355" s="4" t="s">
        <v>303</v>
      </c>
      <c r="B355" s="4" t="n">
        <v>45</v>
      </c>
      <c r="C355" s="24" t="n">
        <f aca="true">RAND()</f>
        <v>0.29931452797935</v>
      </c>
      <c r="D355" s="25" t="n">
        <f aca="false">IF(C355&lt;(($C$7-$B$7)/($D$7-$B$7)),$B$7+SQRT(C355*($D$7-$B$7)*($C$7-$B$7)),$D$7-SQRT((1-C355)*($D$7-$B$7)*($D$7-$C$7)))</f>
        <v>15.2580546239585</v>
      </c>
      <c r="E355" s="26" t="n">
        <f aca="true">MAX(0,$E$7+$F$7*_xlfn.NORM.S.INV(RAND()))</f>
        <v>1.48859942380897</v>
      </c>
      <c r="F355" s="27" t="n">
        <f aca="false">1/(1+EXP(-03_Inputs_Assumptions!$B$14*(E355-03_Inputs_Assumptions!$B$5)))</f>
        <v>0.00755583873103184</v>
      </c>
      <c r="G355" s="28" t="n">
        <f aca="false">D355*04_Baseline_PnL!$B$15*F355*04_Baseline_PnL!$B$14</f>
        <v>32966.3850200943</v>
      </c>
      <c r="H355" s="28" t="n">
        <f aca="false">D355*03_Inputs_Assumptions!$B$13*01_Macro_Data!$B$97*($G$7-1)+D355*04_Baseline_PnL!$B$15*04_Baseline_PnL!$B$13*03_Inputs_Assumptions!$B$15*($H$7-1)</f>
        <v>155339.202515597</v>
      </c>
      <c r="I355" s="16" t="n">
        <f aca="false">G355+H355</f>
        <v>188305.587535691</v>
      </c>
    </row>
    <row r="356" customFormat="false" ht="15" hidden="false" customHeight="true" outlineLevel="0" collapsed="false">
      <c r="A356" s="4" t="s">
        <v>303</v>
      </c>
      <c r="B356" s="4" t="n">
        <v>46</v>
      </c>
      <c r="C356" s="24" t="n">
        <f aca="true">RAND()</f>
        <v>0.18649736180747</v>
      </c>
      <c r="D356" s="25" t="n">
        <f aca="false">IF(C356&lt;(($C$7-$B$7)/($D$7-$B$7)),$B$7+SQRT(C356*($D$7-$B$7)*($C$7-$B$7)),$D$7-SQRT((1-C356)*($D$7-$B$7)*($D$7-$C$7)))</f>
        <v>13.7291828106733</v>
      </c>
      <c r="E356" s="26" t="n">
        <f aca="true">MAX(0,$E$7+$F$7*_xlfn.NORM.S.INV(RAND()))</f>
        <v>3.67919241787074</v>
      </c>
      <c r="F356" s="27" t="n">
        <f aca="false">1/(1+EXP(-03_Inputs_Assumptions!$B$14*(E356-03_Inputs_Assumptions!$B$5)))</f>
        <v>0.0129938269955758</v>
      </c>
      <c r="G356" s="28" t="n">
        <f aca="false">D356*04_Baseline_PnL!$B$15*F356*04_Baseline_PnL!$B$14</f>
        <v>51011.8705896129</v>
      </c>
      <c r="H356" s="28" t="n">
        <f aca="false">D356*03_Inputs_Assumptions!$B$13*01_Macro_Data!$B$97*($G$7-1)+D356*04_Baseline_PnL!$B$15*04_Baseline_PnL!$B$13*03_Inputs_Assumptions!$B$15*($H$7-1)</f>
        <v>139774.064358903</v>
      </c>
      <c r="I356" s="16" t="n">
        <f aca="false">G356+H356</f>
        <v>190785.934948516</v>
      </c>
    </row>
    <row r="357" customFormat="false" ht="15" hidden="false" customHeight="true" outlineLevel="0" collapsed="false">
      <c r="A357" s="4" t="s">
        <v>303</v>
      </c>
      <c r="B357" s="4" t="n">
        <v>47</v>
      </c>
      <c r="C357" s="24" t="n">
        <f aca="true">RAND()</f>
        <v>0.475133197339521</v>
      </c>
      <c r="D357" s="25" t="n">
        <f aca="false">IF(C357&lt;(($C$7-$B$7)/($D$7-$B$7)),$B$7+SQRT(C357*($D$7-$B$7)*($C$7-$B$7)),$D$7-SQRT((1-C357)*($D$7-$B$7)*($D$7-$C$7)))</f>
        <v>17.2854817150068</v>
      </c>
      <c r="E357" s="26" t="n">
        <f aca="true">MAX(0,$E$7+$F$7*_xlfn.NORM.S.INV(RAND()))</f>
        <v>1.12763762165448</v>
      </c>
      <c r="F357" s="27" t="n">
        <f aca="false">1/(1+EXP(-03_Inputs_Assumptions!$B$14*(E357-03_Inputs_Assumptions!$B$5)))</f>
        <v>0.00690836054051197</v>
      </c>
      <c r="G357" s="28" t="n">
        <f aca="false">D357*04_Baseline_PnL!$B$15*F357*04_Baseline_PnL!$B$14</f>
        <v>34146.481748112</v>
      </c>
      <c r="H357" s="28" t="n">
        <f aca="false">D357*03_Inputs_Assumptions!$B$13*01_Macro_Data!$B$97*($G$7-1)+D357*04_Baseline_PnL!$B$15*04_Baseline_PnL!$B$13*03_Inputs_Assumptions!$B$15*($H$7-1)</f>
        <v>175980.032244141</v>
      </c>
      <c r="I357" s="16" t="n">
        <f aca="false">G357+H357</f>
        <v>210126.513992253</v>
      </c>
    </row>
    <row r="358" customFormat="false" ht="15" hidden="false" customHeight="true" outlineLevel="0" collapsed="false">
      <c r="A358" s="4" t="s">
        <v>303</v>
      </c>
      <c r="B358" s="4" t="n">
        <v>48</v>
      </c>
      <c r="C358" s="24" t="n">
        <f aca="true">RAND()</f>
        <v>0.622275137852314</v>
      </c>
      <c r="D358" s="25" t="n">
        <f aca="false">IF(C358&lt;(($C$7-$B$7)/($D$7-$B$7)),$B$7+SQRT(C358*($D$7-$B$7)*($C$7-$B$7)),$D$7-SQRT((1-C358)*($D$7-$B$7)*($D$7-$C$7)))</f>
        <v>19.2139322484287</v>
      </c>
      <c r="E358" s="26" t="n">
        <f aca="true">MAX(0,$E$7+$F$7*_xlfn.NORM.S.INV(RAND()))</f>
        <v>2.80662120416499</v>
      </c>
      <c r="F358" s="27" t="n">
        <f aca="false">1/(1+EXP(-03_Inputs_Assumptions!$B$14*(E358-03_Inputs_Assumptions!$B$5)))</f>
        <v>0.0104738481204079</v>
      </c>
      <c r="G358" s="28" t="n">
        <f aca="false">D358*04_Baseline_PnL!$B$15*F358*04_Baseline_PnL!$B$14</f>
        <v>57545.5848414211</v>
      </c>
      <c r="H358" s="28" t="n">
        <f aca="false">D358*03_Inputs_Assumptions!$B$13*01_Macro_Data!$B$97*($G$7-1)+D358*04_Baseline_PnL!$B$15*04_Baseline_PnL!$B$13*03_Inputs_Assumptions!$B$15*($H$7-1)</f>
        <v>195613.201434803</v>
      </c>
      <c r="I358" s="16" t="n">
        <f aca="false">G358+H358</f>
        <v>253158.786276224</v>
      </c>
    </row>
    <row r="359" customFormat="false" ht="15" hidden="false" customHeight="true" outlineLevel="0" collapsed="false">
      <c r="A359" s="4" t="s">
        <v>303</v>
      </c>
      <c r="B359" s="4" t="n">
        <v>49</v>
      </c>
      <c r="C359" s="24" t="n">
        <f aca="true">RAND()</f>
        <v>0.0743319598935762</v>
      </c>
      <c r="D359" s="25" t="n">
        <f aca="false">IF(C359&lt;(($C$7-$B$7)/($D$7-$B$7)),$B$7+SQRT(C359*($D$7-$B$7)*($C$7-$B$7)),$D$7-SQRT((1-C359)*($D$7-$B$7)*($D$7-$C$7)))</f>
        <v>11.6169634973648</v>
      </c>
      <c r="E359" s="26" t="n">
        <f aca="true">MAX(0,$E$7+$F$7*_xlfn.NORM.S.INV(RAND()))</f>
        <v>4.35147911531722</v>
      </c>
      <c r="F359" s="27" t="n">
        <f aca="false">1/(1+EXP(-03_Inputs_Assumptions!$B$14*(E359-03_Inputs_Assumptions!$B$5)))</f>
        <v>0.0153355052950434</v>
      </c>
      <c r="G359" s="28" t="n">
        <f aca="false">D359*04_Baseline_PnL!$B$15*F359*04_Baseline_PnL!$B$14</f>
        <v>50942.4932118294</v>
      </c>
      <c r="H359" s="28" t="n">
        <f aca="false">D359*03_Inputs_Assumptions!$B$13*01_Macro_Data!$B$97*($G$7-1)+D359*04_Baseline_PnL!$B$15*04_Baseline_PnL!$B$13*03_Inputs_Assumptions!$B$15*($H$7-1)</f>
        <v>118269.981973972</v>
      </c>
      <c r="I359" s="16" t="n">
        <f aca="false">G359+H359</f>
        <v>169212.475185801</v>
      </c>
    </row>
    <row r="360" customFormat="false" ht="15" hidden="false" customHeight="true" outlineLevel="0" collapsed="false">
      <c r="A360" s="4" t="s">
        <v>303</v>
      </c>
      <c r="B360" s="4" t="n">
        <v>50</v>
      </c>
      <c r="C360" s="24" t="n">
        <f aca="true">RAND()</f>
        <v>0.401520915428869</v>
      </c>
      <c r="D360" s="25" t="n">
        <f aca="false">IF(C360&lt;(($C$7-$B$7)/($D$7-$B$7)),$B$7+SQRT(C360*($D$7-$B$7)*($C$7-$B$7)),$D$7-SQRT((1-C360)*($D$7-$B$7)*($D$7-$C$7)))</f>
        <v>16.4231241425758</v>
      </c>
      <c r="E360" s="26" t="n">
        <f aca="true">MAX(0,$E$7+$F$7*_xlfn.NORM.S.INV(RAND()))</f>
        <v>4.98390520502542</v>
      </c>
      <c r="F360" s="27" t="n">
        <f aca="false">1/(1+EXP(-03_Inputs_Assumptions!$B$14*(E360-03_Inputs_Assumptions!$B$5)))</f>
        <v>0.0179152782195655</v>
      </c>
      <c r="G360" s="28" t="n">
        <f aca="false">D360*04_Baseline_PnL!$B$15*F360*04_Baseline_PnL!$B$14</f>
        <v>84133.4724591423</v>
      </c>
      <c r="H360" s="28" t="n">
        <f aca="false">D360*03_Inputs_Assumptions!$B$13*01_Macro_Data!$B$97*($G$7-1)+D360*04_Baseline_PnL!$B$15*04_Baseline_PnL!$B$13*03_Inputs_Assumptions!$B$15*($H$7-1)</f>
        <v>167200.542270736</v>
      </c>
      <c r="I360" s="16" t="n">
        <f aca="false">G360+H360</f>
        <v>251334.014729878</v>
      </c>
    </row>
    <row r="361" customFormat="false" ht="15" hidden="false" customHeight="true" outlineLevel="0" collapsed="false">
      <c r="A361" s="4" t="s">
        <v>303</v>
      </c>
      <c r="B361" s="4" t="n">
        <v>51</v>
      </c>
      <c r="C361" s="24" t="n">
        <f aca="true">RAND()</f>
        <v>0.583355923031618</v>
      </c>
      <c r="D361" s="25" t="n">
        <f aca="false">IF(C361&lt;(($C$7-$B$7)/($D$7-$B$7)),$B$7+SQRT(C361*($D$7-$B$7)*($C$7-$B$7)),$D$7-SQRT((1-C361)*($D$7-$B$7)*($D$7-$C$7)))</f>
        <v>18.671876779172</v>
      </c>
      <c r="E361" s="26" t="n">
        <f aca="true">MAX(0,$E$7+$F$7*_xlfn.NORM.S.INV(RAND()))</f>
        <v>1.86960400142266</v>
      </c>
      <c r="F361" s="27" t="n">
        <f aca="false">1/(1+EXP(-03_Inputs_Assumptions!$B$14*(E361-03_Inputs_Assumptions!$B$5)))</f>
        <v>0.00830466115712329</v>
      </c>
      <c r="G361" s="28" t="n">
        <f aca="false">D361*04_Baseline_PnL!$B$15*F361*04_Baseline_PnL!$B$14</f>
        <v>44340.3759646528</v>
      </c>
      <c r="H361" s="28" t="n">
        <f aca="false">D361*03_Inputs_Assumptions!$B$13*01_Macro_Data!$B$97*($G$7-1)+D361*04_Baseline_PnL!$B$15*04_Baseline_PnL!$B$13*03_Inputs_Assumptions!$B$15*($H$7-1)</f>
        <v>190094.643113395</v>
      </c>
      <c r="I361" s="16" t="n">
        <f aca="false">G361+H361</f>
        <v>234435.019078048</v>
      </c>
    </row>
    <row r="362" customFormat="false" ht="15" hidden="false" customHeight="true" outlineLevel="0" collapsed="false">
      <c r="A362" s="4" t="s">
        <v>303</v>
      </c>
      <c r="B362" s="4" t="n">
        <v>52</v>
      </c>
      <c r="C362" s="24" t="n">
        <f aca="true">RAND()</f>
        <v>0.0809136965118913</v>
      </c>
      <c r="D362" s="25" t="n">
        <f aca="false">IF(C362&lt;(($C$7-$B$7)/($D$7-$B$7)),$B$7+SQRT(C362*($D$7-$B$7)*($C$7-$B$7)),$D$7-SQRT((1-C362)*($D$7-$B$7)*($D$7-$C$7)))</f>
        <v>11.7736998537368</v>
      </c>
      <c r="E362" s="26" t="n">
        <f aca="true">MAX(0,$E$7+$F$7*_xlfn.NORM.S.INV(RAND()))</f>
        <v>4.69171376151329</v>
      </c>
      <c r="F362" s="27" t="n">
        <f aca="false">1/(1+EXP(-03_Inputs_Assumptions!$B$14*(E362-03_Inputs_Assumptions!$B$5)))</f>
        <v>0.0166743037119848</v>
      </c>
      <c r="G362" s="28" t="n">
        <f aca="false">D362*04_Baseline_PnL!$B$15*F362*04_Baseline_PnL!$B$14</f>
        <v>56137.1226856097</v>
      </c>
      <c r="H362" s="28" t="n">
        <f aca="false">D362*03_Inputs_Assumptions!$B$13*01_Macro_Data!$B$97*($G$7-1)+D362*04_Baseline_PnL!$B$15*04_Baseline_PnL!$B$13*03_Inputs_Assumptions!$B$15*($H$7-1)</f>
        <v>119865.683470923</v>
      </c>
      <c r="I362" s="16" t="n">
        <f aca="false">G362+H362</f>
        <v>176002.806156533</v>
      </c>
    </row>
    <row r="363" customFormat="false" ht="15" hidden="false" customHeight="true" outlineLevel="0" collapsed="false">
      <c r="A363" s="4" t="s">
        <v>303</v>
      </c>
      <c r="B363" s="4" t="n">
        <v>53</v>
      </c>
      <c r="C363" s="24" t="n">
        <f aca="true">RAND()</f>
        <v>0.628405752834971</v>
      </c>
      <c r="D363" s="25" t="n">
        <f aca="false">IF(C363&lt;(($C$7-$B$7)/($D$7-$B$7)),$B$7+SQRT(C363*($D$7-$B$7)*($C$7-$B$7)),$D$7-SQRT((1-C363)*($D$7-$B$7)*($D$7-$C$7)))</f>
        <v>19.30182127057</v>
      </c>
      <c r="E363" s="26" t="n">
        <f aca="true">MAX(0,$E$7+$F$7*_xlfn.NORM.S.INV(RAND()))</f>
        <v>1.59186145384921</v>
      </c>
      <c r="F363" s="27" t="n">
        <f aca="false">1/(1+EXP(-03_Inputs_Assumptions!$B$14*(E363-03_Inputs_Assumptions!$B$5)))</f>
        <v>0.00775190435106607</v>
      </c>
      <c r="G363" s="28" t="n">
        <f aca="false">D363*04_Baseline_PnL!$B$15*F363*04_Baseline_PnL!$B$14</f>
        <v>42785.4571370847</v>
      </c>
      <c r="H363" s="28" t="n">
        <f aca="false">D363*03_Inputs_Assumptions!$B$13*01_Macro_Data!$B$97*($G$7-1)+D363*04_Baseline_PnL!$B$15*04_Baseline_PnL!$B$13*03_Inputs_Assumptions!$B$15*($H$7-1)</f>
        <v>196507.981991419</v>
      </c>
      <c r="I363" s="16" t="n">
        <f aca="false">G363+H363</f>
        <v>239293.439128504</v>
      </c>
    </row>
    <row r="364" customFormat="false" ht="15" hidden="false" customHeight="true" outlineLevel="0" collapsed="false">
      <c r="A364" s="4" t="s">
        <v>303</v>
      </c>
      <c r="B364" s="4" t="n">
        <v>54</v>
      </c>
      <c r="C364" s="24" t="n">
        <f aca="true">RAND()</f>
        <v>0.58589377612839</v>
      </c>
      <c r="D364" s="25" t="n">
        <f aca="false">IF(C364&lt;(($C$7-$B$7)/($D$7-$B$7)),$B$7+SQRT(C364*($D$7-$B$7)*($C$7-$B$7)),$D$7-SQRT((1-C364)*($D$7-$B$7)*($D$7-$C$7)))</f>
        <v>18.7064302830126</v>
      </c>
      <c r="E364" s="26" t="n">
        <f aca="true">MAX(0,$E$7+$F$7*_xlfn.NORM.S.INV(RAND()))</f>
        <v>4.06838551002471</v>
      </c>
      <c r="F364" s="27" t="n">
        <f aca="false">1/(1+EXP(-03_Inputs_Assumptions!$B$14*(E364-03_Inputs_Assumptions!$B$5)))</f>
        <v>0.0143026627298237</v>
      </c>
      <c r="G364" s="28" t="n">
        <f aca="false">D364*04_Baseline_PnL!$B$15*F364*04_Baseline_PnL!$B$14</f>
        <v>76506.3175358953</v>
      </c>
      <c r="H364" s="28" t="n">
        <f aca="false">D364*03_Inputs_Assumptions!$B$13*01_Macro_Data!$B$97*($G$7-1)+D364*04_Baseline_PnL!$B$15*04_Baseline_PnL!$B$13*03_Inputs_Assumptions!$B$15*($H$7-1)</f>
        <v>190446.425425294</v>
      </c>
      <c r="I364" s="16" t="n">
        <f aca="false">G364+H364</f>
        <v>266952.74296119</v>
      </c>
    </row>
    <row r="365" customFormat="false" ht="15" hidden="false" customHeight="true" outlineLevel="0" collapsed="false">
      <c r="A365" s="4" t="s">
        <v>303</v>
      </c>
      <c r="B365" s="4" t="n">
        <v>55</v>
      </c>
      <c r="C365" s="24" t="n">
        <f aca="true">RAND()</f>
        <v>0.626464798084651</v>
      </c>
      <c r="D365" s="25" t="n">
        <f aca="false">IF(C365&lt;(($C$7-$B$7)/($D$7-$B$7)),$B$7+SQRT(C365*($D$7-$B$7)*($C$7-$B$7)),$D$7-SQRT((1-C365)*($D$7-$B$7)*($D$7-$C$7)))</f>
        <v>19.2739176681359</v>
      </c>
      <c r="E365" s="26" t="n">
        <f aca="true">MAX(0,$E$7+$F$7*_xlfn.NORM.S.INV(RAND()))</f>
        <v>2.59443060415133</v>
      </c>
      <c r="F365" s="27" t="n">
        <f aca="false">1/(1+EXP(-03_Inputs_Assumptions!$B$14*(E365-03_Inputs_Assumptions!$B$5)))</f>
        <v>0.00993809273806304</v>
      </c>
      <c r="G365" s="28" t="n">
        <f aca="false">D365*04_Baseline_PnL!$B$15*F365*04_Baseline_PnL!$B$14</f>
        <v>54772.4951804164</v>
      </c>
      <c r="H365" s="28" t="n">
        <f aca="false">D365*03_Inputs_Assumptions!$B$13*01_Macro_Data!$B$97*($G$7-1)+D365*04_Baseline_PnL!$B$15*04_Baseline_PnL!$B$13*03_Inputs_Assumptions!$B$15*($H$7-1)</f>
        <v>196223.900995758</v>
      </c>
      <c r="I365" s="16" t="n">
        <f aca="false">G365+H365</f>
        <v>250996.396176174</v>
      </c>
    </row>
    <row r="366" customFormat="false" ht="15" hidden="false" customHeight="true" outlineLevel="0" collapsed="false">
      <c r="A366" s="4" t="s">
        <v>303</v>
      </c>
      <c r="B366" s="4" t="n">
        <v>56</v>
      </c>
      <c r="C366" s="24" t="n">
        <f aca="true">RAND()</f>
        <v>0.399556548586443</v>
      </c>
      <c r="D366" s="25" t="n">
        <f aca="false">IF(C366&lt;(($C$7-$B$7)/($D$7-$B$7)),$B$7+SQRT(C366*($D$7-$B$7)*($C$7-$B$7)),$D$7-SQRT((1-C366)*($D$7-$B$7)*($D$7-$C$7)))</f>
        <v>16.400860945068</v>
      </c>
      <c r="E366" s="26" t="n">
        <f aca="true">MAX(0,$E$7+$F$7*_xlfn.NORM.S.INV(RAND()))</f>
        <v>2.37228490053739</v>
      </c>
      <c r="F366" s="27" t="n">
        <f aca="false">1/(1+EXP(-03_Inputs_Assumptions!$B$14*(E366-03_Inputs_Assumptions!$B$5)))</f>
        <v>0.00940626280273925</v>
      </c>
      <c r="G366" s="28" t="n">
        <f aca="false">D366*04_Baseline_PnL!$B$15*F366*04_Baseline_PnL!$B$14</f>
        <v>44113.6746768458</v>
      </c>
      <c r="H366" s="28" t="n">
        <f aca="false">D366*03_Inputs_Assumptions!$B$13*01_Macro_Data!$B$97*($G$7-1)+D366*04_Baseline_PnL!$B$15*04_Baseline_PnL!$B$13*03_Inputs_Assumptions!$B$15*($H$7-1)</f>
        <v>166973.885109549</v>
      </c>
      <c r="I366" s="16" t="n">
        <f aca="false">G366+H366</f>
        <v>211087.559786395</v>
      </c>
    </row>
    <row r="367" customFormat="false" ht="15" hidden="false" customHeight="true" outlineLevel="0" collapsed="false">
      <c r="A367" s="4" t="s">
        <v>303</v>
      </c>
      <c r="B367" s="4" t="n">
        <v>57</v>
      </c>
      <c r="C367" s="24" t="n">
        <f aca="true">RAND()</f>
        <v>0.116229117406687</v>
      </c>
      <c r="D367" s="25" t="n">
        <f aca="false">IF(C367&lt;(($C$7-$B$7)/($D$7-$B$7)),$B$7+SQRT(C367*($D$7-$B$7)*($C$7-$B$7)),$D$7-SQRT((1-C367)*($D$7-$B$7)*($D$7-$C$7)))</f>
        <v>12.5228668633486</v>
      </c>
      <c r="E367" s="26" t="n">
        <f aca="true">MAX(0,$E$7+$F$7*_xlfn.NORM.S.INV(RAND()))</f>
        <v>2.00916065143223</v>
      </c>
      <c r="F367" s="27" t="n">
        <f aca="false">1/(1+EXP(-03_Inputs_Assumptions!$B$14*(E367-03_Inputs_Assumptions!$B$5)))</f>
        <v>0.00859698269193184</v>
      </c>
      <c r="G367" s="28" t="n">
        <f aca="false">D367*04_Baseline_PnL!$B$15*F367*04_Baseline_PnL!$B$14</f>
        <v>30785.009861554</v>
      </c>
      <c r="H367" s="28" t="n">
        <f aca="false">D367*03_Inputs_Assumptions!$B$13*01_Macro_Data!$B$97*($G$7-1)+D367*04_Baseline_PnL!$B$15*04_Baseline_PnL!$B$13*03_Inputs_Assumptions!$B$15*($H$7-1)</f>
        <v>127492.80296238</v>
      </c>
      <c r="I367" s="16" t="n">
        <f aca="false">G367+H367</f>
        <v>158277.812823934</v>
      </c>
    </row>
    <row r="368" customFormat="false" ht="15" hidden="false" customHeight="true" outlineLevel="0" collapsed="false">
      <c r="A368" s="4" t="s">
        <v>303</v>
      </c>
      <c r="B368" s="4" t="n">
        <v>58</v>
      </c>
      <c r="C368" s="24" t="n">
        <f aca="true">RAND()</f>
        <v>0.731044224996258</v>
      </c>
      <c r="D368" s="25" t="n">
        <f aca="false">IF(C368&lt;(($C$7-$B$7)/($D$7-$B$7)),$B$7+SQRT(C368*($D$7-$B$7)*($C$7-$B$7)),$D$7-SQRT((1-C368)*($D$7-$B$7)*($D$7-$C$7)))</f>
        <v>20.8984408642721</v>
      </c>
      <c r="E368" s="26" t="n">
        <f aca="true">MAX(0,$E$7+$F$7*_xlfn.NORM.S.INV(RAND()))</f>
        <v>4.76416999549408</v>
      </c>
      <c r="F368" s="27" t="n">
        <f aca="false">1/(1+EXP(-03_Inputs_Assumptions!$B$14*(E368-03_Inputs_Assumptions!$B$5)))</f>
        <v>0.0169739216894454</v>
      </c>
      <c r="G368" s="28" t="n">
        <f aca="false">D368*04_Baseline_PnL!$B$15*F368*04_Baseline_PnL!$B$14</f>
        <v>101434.469469896</v>
      </c>
      <c r="H368" s="28" t="n">
        <f aca="false">D368*03_Inputs_Assumptions!$B$13*01_Macro_Data!$B$97*($G$7-1)+D368*04_Baseline_PnL!$B$15*04_Baseline_PnL!$B$13*03_Inputs_Assumptions!$B$15*($H$7-1)</f>
        <v>212762.846750981</v>
      </c>
      <c r="I368" s="16" t="n">
        <f aca="false">G368+H368</f>
        <v>314197.316220877</v>
      </c>
    </row>
    <row r="369" customFormat="false" ht="15" hidden="false" customHeight="true" outlineLevel="0" collapsed="false">
      <c r="A369" s="4" t="s">
        <v>303</v>
      </c>
      <c r="B369" s="4" t="n">
        <v>59</v>
      </c>
      <c r="C369" s="24" t="n">
        <f aca="true">RAND()</f>
        <v>0.366442989502401</v>
      </c>
      <c r="D369" s="25" t="n">
        <f aca="false">IF(C369&lt;(($C$7-$B$7)/($D$7-$B$7)),$B$7+SQRT(C369*($D$7-$B$7)*($C$7-$B$7)),$D$7-SQRT((1-C369)*($D$7-$B$7)*($D$7-$C$7)))</f>
        <v>16.030907000336</v>
      </c>
      <c r="E369" s="26" t="n">
        <f aca="true">MAX(0,$E$7+$F$7*_xlfn.NORM.S.INV(RAND()))</f>
        <v>2.36879671300008</v>
      </c>
      <c r="F369" s="27" t="n">
        <f aca="false">1/(1+EXP(-03_Inputs_Assumptions!$B$14*(E369-03_Inputs_Assumptions!$B$5)))</f>
        <v>0.00939814073264602</v>
      </c>
      <c r="G369" s="28" t="n">
        <f aca="false">D369*04_Baseline_PnL!$B$15*F369*04_Baseline_PnL!$B$14</f>
        <v>43081.3714348004</v>
      </c>
      <c r="H369" s="28" t="n">
        <f aca="false">D369*03_Inputs_Assumptions!$B$13*01_Macro_Data!$B$97*($G$7-1)+D369*04_Baseline_PnL!$B$15*04_Baseline_PnL!$B$13*03_Inputs_Assumptions!$B$15*($H$7-1)</f>
        <v>163207.457989021</v>
      </c>
      <c r="I369" s="16" t="n">
        <f aca="false">G369+H369</f>
        <v>206288.829423822</v>
      </c>
    </row>
    <row r="370" customFormat="false" ht="15" hidden="false" customHeight="true" outlineLevel="0" collapsed="false">
      <c r="A370" s="4" t="s">
        <v>303</v>
      </c>
      <c r="B370" s="4" t="n">
        <v>60</v>
      </c>
      <c r="C370" s="24" t="n">
        <f aca="true">RAND()</f>
        <v>0.432636947060334</v>
      </c>
      <c r="D370" s="25" t="n">
        <f aca="false">IF(C370&lt;(($C$7-$B$7)/($D$7-$B$7)),$B$7+SQRT(C370*($D$7-$B$7)*($C$7-$B$7)),$D$7-SQRT((1-C370)*($D$7-$B$7)*($D$7-$C$7)))</f>
        <v>16.7807783774756</v>
      </c>
      <c r="E370" s="26" t="n">
        <f aca="true">MAX(0,$E$7+$F$7*_xlfn.NORM.S.INV(RAND()))</f>
        <v>1.19800530947698</v>
      </c>
      <c r="F370" s="27" t="n">
        <f aca="false">1/(1+EXP(-03_Inputs_Assumptions!$B$14*(E370-03_Inputs_Assumptions!$B$5)))</f>
        <v>0.00703010522362369</v>
      </c>
      <c r="G370" s="28" t="n">
        <f aca="false">D370*04_Baseline_PnL!$B$15*F370*04_Baseline_PnL!$B$14</f>
        <v>33733.6557285594</v>
      </c>
      <c r="H370" s="28" t="n">
        <f aca="false">D370*03_Inputs_Assumptions!$B$13*01_Macro_Data!$B$97*($G$7-1)+D370*04_Baseline_PnL!$B$15*04_Baseline_PnL!$B$13*03_Inputs_Assumptions!$B$15*($H$7-1)</f>
        <v>170841.748505404</v>
      </c>
      <c r="I370" s="16" t="n">
        <f aca="false">G370+H370</f>
        <v>204575.404233963</v>
      </c>
    </row>
    <row r="371" customFormat="false" ht="15" hidden="false" customHeight="true" outlineLevel="0" collapsed="false">
      <c r="A371" s="4" t="s">
        <v>303</v>
      </c>
      <c r="B371" s="4" t="n">
        <v>61</v>
      </c>
      <c r="C371" s="24" t="n">
        <f aca="true">RAND()</f>
        <v>0.593469810826087</v>
      </c>
      <c r="D371" s="25" t="n">
        <f aca="false">IF(C371&lt;(($C$7-$B$7)/($D$7-$B$7)),$B$7+SQRT(C371*($D$7-$B$7)*($C$7-$B$7)),$D$7-SQRT((1-C371)*($D$7-$B$7)*($D$7-$C$7)))</f>
        <v>18.8102145567681</v>
      </c>
      <c r="E371" s="26" t="n">
        <f aca="true">MAX(0,$E$7+$F$7*_xlfn.NORM.S.INV(RAND()))</f>
        <v>1.95557266875102</v>
      </c>
      <c r="F371" s="27" t="n">
        <f aca="false">1/(1+EXP(-03_Inputs_Assumptions!$B$14*(E371-03_Inputs_Assumptions!$B$5)))</f>
        <v>0.00848354757541603</v>
      </c>
      <c r="G371" s="28" t="n">
        <f aca="false">D371*04_Baseline_PnL!$B$15*F371*04_Baseline_PnL!$B$14</f>
        <v>45631.0781554969</v>
      </c>
      <c r="H371" s="28" t="n">
        <f aca="false">D371*03_Inputs_Assumptions!$B$13*01_Macro_Data!$B$97*($G$7-1)+D371*04_Baseline_PnL!$B$15*04_Baseline_PnL!$B$13*03_Inputs_Assumptions!$B$15*($H$7-1)</f>
        <v>191503.032359545</v>
      </c>
      <c r="I371" s="16" t="n">
        <f aca="false">G371+H371</f>
        <v>237134.110515041</v>
      </c>
    </row>
    <row r="372" customFormat="false" ht="15" hidden="false" customHeight="true" outlineLevel="0" collapsed="false">
      <c r="A372" s="4" t="s">
        <v>303</v>
      </c>
      <c r="B372" s="4" t="n">
        <v>62</v>
      </c>
      <c r="C372" s="24" t="n">
        <f aca="true">RAND()</f>
        <v>0.29899310657168</v>
      </c>
      <c r="D372" s="25" t="n">
        <f aca="false">IF(C372&lt;(($C$7-$B$7)/($D$7-$B$7)),$B$7+SQRT(C372*($D$7-$B$7)*($C$7-$B$7)),$D$7-SQRT((1-C372)*($D$7-$B$7)*($D$7-$C$7)))</f>
        <v>15.2541565158615</v>
      </c>
      <c r="E372" s="26" t="n">
        <f aca="true">MAX(0,$E$7+$F$7*_xlfn.NORM.S.INV(RAND()))</f>
        <v>1.83637130077866</v>
      </c>
      <c r="F372" s="27" t="n">
        <f aca="false">1/(1+EXP(-03_Inputs_Assumptions!$B$14*(E372-03_Inputs_Assumptions!$B$5)))</f>
        <v>0.00823651634054688</v>
      </c>
      <c r="G372" s="28" t="n">
        <f aca="false">D372*04_Baseline_PnL!$B$15*F372*04_Baseline_PnL!$B$14</f>
        <v>35927.023974961</v>
      </c>
      <c r="H372" s="28" t="n">
        <f aca="false">D372*03_Inputs_Assumptions!$B$13*01_Macro_Data!$B$97*($G$7-1)+D372*04_Baseline_PnL!$B$15*04_Baseline_PnL!$B$13*03_Inputs_Assumptions!$B$15*($H$7-1)</f>
        <v>155299.516656683</v>
      </c>
      <c r="I372" s="16" t="n">
        <f aca="false">G372+H372</f>
        <v>191226.540631644</v>
      </c>
    </row>
    <row r="373" customFormat="false" ht="15" hidden="false" customHeight="true" outlineLevel="0" collapsed="false">
      <c r="A373" s="4" t="s">
        <v>303</v>
      </c>
      <c r="B373" s="4" t="n">
        <v>63</v>
      </c>
      <c r="C373" s="24" t="n">
        <f aca="true">RAND()</f>
        <v>0.331419927439085</v>
      </c>
      <c r="D373" s="25" t="n">
        <f aca="false">IF(C373&lt;(($C$7-$B$7)/($D$7-$B$7)),$B$7+SQRT(C373*($D$7-$B$7)*($C$7-$B$7)),$D$7-SQRT((1-C373)*($D$7-$B$7)*($D$7-$C$7)))</f>
        <v>15.6374018638068</v>
      </c>
      <c r="E373" s="26" t="n">
        <f aca="true">MAX(0,$E$7+$F$7*_xlfn.NORM.S.INV(RAND()))</f>
        <v>3.8401253899707</v>
      </c>
      <c r="F373" s="27" t="n">
        <f aca="false">1/(1+EXP(-03_Inputs_Assumptions!$B$14*(E373-03_Inputs_Assumptions!$B$5)))</f>
        <v>0.0135200577294348</v>
      </c>
      <c r="G373" s="28" t="n">
        <f aca="false">D373*04_Baseline_PnL!$B$15*F373*04_Baseline_PnL!$B$14</f>
        <v>60455.0555344832</v>
      </c>
      <c r="H373" s="28" t="n">
        <f aca="false">D373*03_Inputs_Assumptions!$B$13*01_Macro_Data!$B$97*($G$7-1)+D373*04_Baseline_PnL!$B$15*04_Baseline_PnL!$B$13*03_Inputs_Assumptions!$B$15*($H$7-1)</f>
        <v>159201.260895044</v>
      </c>
      <c r="I373" s="16" t="n">
        <f aca="false">G373+H373</f>
        <v>219656.316429527</v>
      </c>
    </row>
    <row r="374" customFormat="false" ht="15" hidden="false" customHeight="true" outlineLevel="0" collapsed="false">
      <c r="A374" s="4" t="s">
        <v>303</v>
      </c>
      <c r="B374" s="4" t="n">
        <v>64</v>
      </c>
      <c r="C374" s="24" t="n">
        <f aca="true">RAND()</f>
        <v>0.932509526311641</v>
      </c>
      <c r="D374" s="25" t="n">
        <f aca="false">IF(C374&lt;(($C$7-$B$7)/($D$7-$B$7)),$B$7+SQRT(C374*($D$7-$B$7)*($C$7-$B$7)),$D$7-SQRT((1-C374)*($D$7-$B$7)*($D$7-$C$7)))</f>
        <v>25.4407165150635</v>
      </c>
      <c r="E374" s="26" t="n">
        <f aca="true">MAX(0,$E$7+$F$7*_xlfn.NORM.S.INV(RAND()))</f>
        <v>4.2865901291953</v>
      </c>
      <c r="F374" s="27" t="n">
        <f aca="false">1/(1+EXP(-03_Inputs_Assumptions!$B$14*(E374-03_Inputs_Assumptions!$B$5)))</f>
        <v>0.0150924602925786</v>
      </c>
      <c r="G374" s="28" t="n">
        <f aca="false">D374*04_Baseline_PnL!$B$15*F374*04_Baseline_PnL!$B$14</f>
        <v>109794.064292334</v>
      </c>
      <c r="H374" s="28" t="n">
        <f aca="false">D374*03_Inputs_Assumptions!$B$13*01_Macro_Data!$B$97*($G$7-1)+D374*04_Baseline_PnL!$B$15*04_Baseline_PnL!$B$13*03_Inputs_Assumptions!$B$15*($H$7-1)</f>
        <v>259006.846696559</v>
      </c>
      <c r="I374" s="16" t="n">
        <f aca="false">G374+H374</f>
        <v>368800.910988893</v>
      </c>
    </row>
    <row r="375" customFormat="false" ht="15" hidden="false" customHeight="true" outlineLevel="0" collapsed="false">
      <c r="A375" s="4" t="s">
        <v>303</v>
      </c>
      <c r="B375" s="4" t="n">
        <v>65</v>
      </c>
      <c r="C375" s="24" t="n">
        <f aca="true">RAND()</f>
        <v>0.867506214603857</v>
      </c>
      <c r="D375" s="25" t="n">
        <f aca="false">IF(C375&lt;(($C$7-$B$7)/($D$7-$B$7)),$B$7+SQRT(C375*($D$7-$B$7)*($C$7-$B$7)),$D$7-SQRT((1-C375)*($D$7-$B$7)*($D$7-$C$7)))</f>
        <v>23.6118793137565</v>
      </c>
      <c r="E375" s="26" t="n">
        <f aca="true">MAX(0,$E$7+$F$7*_xlfn.NORM.S.INV(RAND()))</f>
        <v>4.31402254506617</v>
      </c>
      <c r="F375" s="27" t="n">
        <f aca="false">1/(1+EXP(-03_Inputs_Assumptions!$B$14*(E375-03_Inputs_Assumptions!$B$5)))</f>
        <v>0.0151947435461049</v>
      </c>
      <c r="G375" s="28" t="n">
        <f aca="false">D375*04_Baseline_PnL!$B$15*F375*04_Baseline_PnL!$B$14</f>
        <v>102591.979736402</v>
      </c>
      <c r="H375" s="28" t="n">
        <f aca="false">D375*03_Inputs_Assumptions!$B$13*01_Macro_Data!$B$97*($G$7-1)+D375*04_Baseline_PnL!$B$15*04_Baseline_PnL!$B$13*03_Inputs_Assumptions!$B$15*($H$7-1)</f>
        <v>240387.820917492</v>
      </c>
      <c r="I375" s="16" t="n">
        <f aca="false">G375+H375</f>
        <v>342979.800653895</v>
      </c>
    </row>
    <row r="376" customFormat="false" ht="15" hidden="false" customHeight="true" outlineLevel="0" collapsed="false">
      <c r="A376" s="4" t="s">
        <v>303</v>
      </c>
      <c r="B376" s="4" t="n">
        <v>66</v>
      </c>
      <c r="C376" s="24" t="n">
        <f aca="true">RAND()</f>
        <v>0.910430105898844</v>
      </c>
      <c r="D376" s="25" t="n">
        <f aca="false">IF(C376&lt;(($C$7-$B$7)/($D$7-$B$7)),$B$7+SQRT(C376*($D$7-$B$7)*($C$7-$B$7)),$D$7-SQRT((1-C376)*($D$7-$B$7)*($D$7-$C$7)))</f>
        <v>24.7476169805358</v>
      </c>
      <c r="E376" s="26" t="n">
        <f aca="true">MAX(0,$E$7+$F$7*_xlfn.NORM.S.INV(RAND()))</f>
        <v>3.62963747470821</v>
      </c>
      <c r="F376" s="27" t="n">
        <f aca="false">1/(1+EXP(-03_Inputs_Assumptions!$B$14*(E376-03_Inputs_Assumptions!$B$5)))</f>
        <v>0.0128358964908616</v>
      </c>
      <c r="G376" s="28" t="n">
        <f aca="false">D376*04_Baseline_PnL!$B$15*F376*04_Baseline_PnL!$B$14</f>
        <v>90834.1325970953</v>
      </c>
      <c r="H376" s="28" t="n">
        <f aca="false">D376*03_Inputs_Assumptions!$B$13*01_Macro_Data!$B$97*($G$7-1)+D376*04_Baseline_PnL!$B$15*04_Baseline_PnL!$B$13*03_Inputs_Assumptions!$B$15*($H$7-1)</f>
        <v>251950.538955439</v>
      </c>
      <c r="I376" s="16" t="n">
        <f aca="false">G376+H376</f>
        <v>342784.671552534</v>
      </c>
    </row>
    <row r="377" customFormat="false" ht="15" hidden="false" customHeight="true" outlineLevel="0" collapsed="false">
      <c r="A377" s="4" t="s">
        <v>303</v>
      </c>
      <c r="B377" s="4" t="n">
        <v>67</v>
      </c>
      <c r="C377" s="24" t="n">
        <f aca="true">RAND()</f>
        <v>0.536999344879588</v>
      </c>
      <c r="D377" s="25" t="n">
        <f aca="false">IF(C377&lt;(($C$7-$B$7)/($D$7-$B$7)),$B$7+SQRT(C377*($D$7-$B$7)*($C$7-$B$7)),$D$7-SQRT((1-C377)*($D$7-$B$7)*($D$7-$C$7)))</f>
        <v>18.0582998791174</v>
      </c>
      <c r="E377" s="26" t="n">
        <f aca="true">MAX(0,$E$7+$F$7*_xlfn.NORM.S.INV(RAND()))</f>
        <v>4.12264577638354</v>
      </c>
      <c r="F377" s="27" t="n">
        <f aca="false">1/(1+EXP(-03_Inputs_Assumptions!$B$14*(E377-03_Inputs_Assumptions!$B$5)))</f>
        <v>0.0144951697322283</v>
      </c>
      <c r="G377" s="28" t="n">
        <f aca="false">D377*04_Baseline_PnL!$B$15*F377*04_Baseline_PnL!$B$14</f>
        <v>74849.6281430885</v>
      </c>
      <c r="H377" s="28" t="n">
        <f aca="false">D377*03_Inputs_Assumptions!$B$13*01_Macro_Data!$B$97*($G$7-1)+D377*04_Baseline_PnL!$B$15*04_Baseline_PnL!$B$13*03_Inputs_Assumptions!$B$15*($H$7-1)</f>
        <v>183847.939409319</v>
      </c>
      <c r="I377" s="16" t="n">
        <f aca="false">G377+H377</f>
        <v>258697.567552407</v>
      </c>
    </row>
    <row r="378" customFormat="false" ht="15" hidden="false" customHeight="true" outlineLevel="0" collapsed="false">
      <c r="A378" s="4" t="s">
        <v>303</v>
      </c>
      <c r="B378" s="4" t="n">
        <v>68</v>
      </c>
      <c r="C378" s="24" t="n">
        <f aca="true">RAND()</f>
        <v>0.35443604620272</v>
      </c>
      <c r="D378" s="25" t="n">
        <f aca="false">IF(C378&lt;(($C$7-$B$7)/($D$7-$B$7)),$B$7+SQRT(C378*($D$7-$B$7)*($C$7-$B$7)),$D$7-SQRT((1-C378)*($D$7-$B$7)*($D$7-$C$7)))</f>
        <v>15.8981481457161</v>
      </c>
      <c r="E378" s="26" t="n">
        <f aca="true">MAX(0,$E$7+$F$7*_xlfn.NORM.S.INV(RAND()))</f>
        <v>2.94541162170116</v>
      </c>
      <c r="F378" s="27" t="n">
        <f aca="false">1/(1+EXP(-03_Inputs_Assumptions!$B$14*(E378-03_Inputs_Assumptions!$B$5)))</f>
        <v>0.0108396355219583</v>
      </c>
      <c r="G378" s="28" t="n">
        <f aca="false">D378*04_Baseline_PnL!$B$15*F378*04_Baseline_PnL!$B$14</f>
        <v>49277.7307589185</v>
      </c>
      <c r="H378" s="28" t="n">
        <f aca="false">D378*03_Inputs_Assumptions!$B$13*01_Macro_Data!$B$97*($G$7-1)+D378*04_Baseline_PnL!$B$15*04_Baseline_PnL!$B$13*03_Inputs_Assumptions!$B$15*($H$7-1)</f>
        <v>161855.866641907</v>
      </c>
      <c r="I378" s="16" t="n">
        <f aca="false">G378+H378</f>
        <v>211133.597400825</v>
      </c>
    </row>
    <row r="379" customFormat="false" ht="15" hidden="false" customHeight="true" outlineLevel="0" collapsed="false">
      <c r="A379" s="4" t="s">
        <v>303</v>
      </c>
      <c r="B379" s="4" t="n">
        <v>69</v>
      </c>
      <c r="C379" s="24" t="n">
        <f aca="true">RAND()</f>
        <v>0.332933170196372</v>
      </c>
      <c r="D379" s="25" t="n">
        <f aca="false">IF(C379&lt;(($C$7-$B$7)/($D$7-$B$7)),$B$7+SQRT(C379*($D$7-$B$7)*($C$7-$B$7)),$D$7-SQRT((1-C379)*($D$7-$B$7)*($D$7-$C$7)))</f>
        <v>15.6548179569838</v>
      </c>
      <c r="E379" s="26" t="n">
        <f aca="true">MAX(0,$E$7+$F$7*_xlfn.NORM.S.INV(RAND()))</f>
        <v>1.60747669526828</v>
      </c>
      <c r="F379" s="27" t="n">
        <f aca="false">1/(1+EXP(-03_Inputs_Assumptions!$B$14*(E379-03_Inputs_Assumptions!$B$5)))</f>
        <v>0.00778198950240625</v>
      </c>
      <c r="G379" s="28" t="n">
        <f aca="false">D379*04_Baseline_PnL!$B$15*F379*04_Baseline_PnL!$B$14</f>
        <v>34835.988910988</v>
      </c>
      <c r="H379" s="28" t="n">
        <f aca="false">D379*03_Inputs_Assumptions!$B$13*01_Macro_Data!$B$97*($G$7-1)+D379*04_Baseline_PnL!$B$15*04_Baseline_PnL!$B$13*03_Inputs_Assumptions!$B$15*($H$7-1)</f>
        <v>159378.570656461</v>
      </c>
      <c r="I379" s="16" t="n">
        <f aca="false">G379+H379</f>
        <v>194214.559567449</v>
      </c>
    </row>
    <row r="380" customFormat="false" ht="15" hidden="false" customHeight="true" outlineLevel="0" collapsed="false">
      <c r="A380" s="4" t="s">
        <v>303</v>
      </c>
      <c r="B380" s="4" t="n">
        <v>70</v>
      </c>
      <c r="C380" s="24" t="n">
        <f aca="true">RAND()</f>
        <v>0.0168719169428354</v>
      </c>
      <c r="D380" s="25" t="n">
        <f aca="false">IF(C380&lt;(($C$7-$B$7)/($D$7-$B$7)),$B$7+SQRT(C380*($D$7-$B$7)*($C$7-$B$7)),$D$7-SQRT((1-C380)*($D$7-$B$7)*($D$7-$C$7)))</f>
        <v>9.72321135730329</v>
      </c>
      <c r="E380" s="26" t="n">
        <f aca="true">MAX(0,$E$7+$F$7*_xlfn.NORM.S.INV(RAND()))</f>
        <v>4.35669913866987</v>
      </c>
      <c r="F380" s="27" t="n">
        <f aca="false">1/(1+EXP(-03_Inputs_Assumptions!$B$14*(E380-03_Inputs_Assumptions!$B$5)))</f>
        <v>0.0153552237796293</v>
      </c>
      <c r="G380" s="28" t="n">
        <f aca="false">D380*04_Baseline_PnL!$B$15*F380*04_Baseline_PnL!$B$14</f>
        <v>42692.8706502428</v>
      </c>
      <c r="H380" s="28" t="n">
        <f aca="false">D380*03_Inputs_Assumptions!$B$13*01_Macro_Data!$B$97*($G$7-1)+D380*04_Baseline_PnL!$B$15*04_Baseline_PnL!$B$13*03_Inputs_Assumptions!$B$15*($H$7-1)</f>
        <v>98990.0701864334</v>
      </c>
      <c r="I380" s="16" t="n">
        <f aca="false">G380+H380</f>
        <v>141682.940836676</v>
      </c>
    </row>
    <row r="381" customFormat="false" ht="15" hidden="false" customHeight="true" outlineLevel="0" collapsed="false">
      <c r="A381" s="4" t="s">
        <v>303</v>
      </c>
      <c r="B381" s="4" t="n">
        <v>71</v>
      </c>
      <c r="C381" s="24" t="n">
        <f aca="true">RAND()</f>
        <v>0.459153882840588</v>
      </c>
      <c r="D381" s="25" t="n">
        <f aca="false">IF(C381&lt;(($C$7-$B$7)/($D$7-$B$7)),$B$7+SQRT(C381*($D$7-$B$7)*($C$7-$B$7)),$D$7-SQRT((1-C381)*($D$7-$B$7)*($D$7-$C$7)))</f>
        <v>17.0933891324989</v>
      </c>
      <c r="E381" s="26" t="n">
        <f aca="true">MAX(0,$E$7+$F$7*_xlfn.NORM.S.INV(RAND()))</f>
        <v>5.46201813331622</v>
      </c>
      <c r="F381" s="27" t="n">
        <f aca="false">1/(1+EXP(-03_Inputs_Assumptions!$B$14*(E381-03_Inputs_Assumptions!$B$5)))</f>
        <v>0.0201440725996595</v>
      </c>
      <c r="G381" s="28" t="n">
        <f aca="false">D381*04_Baseline_PnL!$B$15*F381*04_Baseline_PnL!$B$14</f>
        <v>98461.1578907627</v>
      </c>
      <c r="H381" s="28" t="n">
        <f aca="false">D381*03_Inputs_Assumptions!$B$13*01_Macro_Data!$B$97*($G$7-1)+D381*04_Baseline_PnL!$B$15*04_Baseline_PnL!$B$13*03_Inputs_Assumptions!$B$15*($H$7-1)</f>
        <v>174024.376080144</v>
      </c>
      <c r="I381" s="16" t="n">
        <f aca="false">G381+H381</f>
        <v>272485.533970907</v>
      </c>
    </row>
    <row r="382" customFormat="false" ht="15" hidden="false" customHeight="true" outlineLevel="0" collapsed="false">
      <c r="A382" s="4" t="s">
        <v>303</v>
      </c>
      <c r="B382" s="4" t="n">
        <v>72</v>
      </c>
      <c r="C382" s="24" t="n">
        <f aca="true">RAND()</f>
        <v>0.339745448000161</v>
      </c>
      <c r="D382" s="25" t="n">
        <f aca="false">IF(C382&lt;(($C$7-$B$7)/($D$7-$B$7)),$B$7+SQRT(C382*($D$7-$B$7)*($C$7-$B$7)),$D$7-SQRT((1-C382)*($D$7-$B$7)*($D$7-$C$7)))</f>
        <v>15.7327355345976</v>
      </c>
      <c r="E382" s="26" t="n">
        <f aca="true">MAX(0,$E$7+$F$7*_xlfn.NORM.S.INV(RAND()))</f>
        <v>2.74559668028942</v>
      </c>
      <c r="F382" s="27" t="n">
        <f aca="false">1/(1+EXP(-03_Inputs_Assumptions!$B$14*(E382-03_Inputs_Assumptions!$B$5)))</f>
        <v>0.0103169064695189</v>
      </c>
      <c r="G382" s="28" t="n">
        <f aca="false">D382*04_Baseline_PnL!$B$15*F382*04_Baseline_PnL!$B$14</f>
        <v>46413.3821730551</v>
      </c>
      <c r="H382" s="28" t="n">
        <f aca="false">D382*03_Inputs_Assumptions!$B$13*01_Macro_Data!$B$97*($G$7-1)+D382*04_Baseline_PnL!$B$15*04_Baseline_PnL!$B$13*03_Inputs_Assumptions!$B$15*($H$7-1)</f>
        <v>160171.833930631</v>
      </c>
      <c r="I382" s="16" t="n">
        <f aca="false">G382+H382</f>
        <v>206585.216103686</v>
      </c>
    </row>
    <row r="383" customFormat="false" ht="15" hidden="false" customHeight="true" outlineLevel="0" collapsed="false">
      <c r="A383" s="4" t="s">
        <v>303</v>
      </c>
      <c r="B383" s="4" t="n">
        <v>73</v>
      </c>
      <c r="C383" s="24" t="n">
        <f aca="true">RAND()</f>
        <v>0.93243982122513</v>
      </c>
      <c r="D383" s="25" t="n">
        <f aca="false">IF(C383&lt;(($C$7-$B$7)/($D$7-$B$7)),$B$7+SQRT(C383*($D$7-$B$7)*($C$7-$B$7)),$D$7-SQRT((1-C383)*($D$7-$B$7)*($D$7-$C$7)))</f>
        <v>25.4383626774304</v>
      </c>
      <c r="E383" s="26" t="n">
        <f aca="true">MAX(0,$E$7+$F$7*_xlfn.NORM.S.INV(RAND()))</f>
        <v>2.60469553234362</v>
      </c>
      <c r="F383" s="27" t="n">
        <f aca="false">1/(1+EXP(-03_Inputs_Assumptions!$B$14*(E383-03_Inputs_Assumptions!$B$5)))</f>
        <v>0.0099633745152786</v>
      </c>
      <c r="G383" s="28" t="n">
        <f aca="false">D383*04_Baseline_PnL!$B$15*F383*04_Baseline_PnL!$B$14</f>
        <v>72474.4772412315</v>
      </c>
      <c r="H383" s="28" t="n">
        <f aca="false">D383*03_Inputs_Assumptions!$B$13*01_Macro_Data!$B$97*($G$7-1)+D383*04_Baseline_PnL!$B$15*04_Baseline_PnL!$B$13*03_Inputs_Assumptions!$B$15*($H$7-1)</f>
        <v>258982.882746384</v>
      </c>
      <c r="I383" s="16" t="n">
        <f aca="false">G383+H383</f>
        <v>331457.359987615</v>
      </c>
    </row>
    <row r="384" customFormat="false" ht="15" hidden="false" customHeight="true" outlineLevel="0" collapsed="false">
      <c r="A384" s="4" t="s">
        <v>303</v>
      </c>
      <c r="B384" s="4" t="n">
        <v>74</v>
      </c>
      <c r="C384" s="24" t="n">
        <f aca="true">RAND()</f>
        <v>0.930814773460146</v>
      </c>
      <c r="D384" s="25" t="n">
        <f aca="false">IF(C384&lt;(($C$7-$B$7)/($D$7-$B$7)),$B$7+SQRT(C384*($D$7-$B$7)*($C$7-$B$7)),$D$7-SQRT((1-C384)*($D$7-$B$7)*($D$7-$C$7)))</f>
        <v>25.3838273673664</v>
      </c>
      <c r="E384" s="26" t="n">
        <f aca="true">MAX(0,$E$7+$F$7*_xlfn.NORM.S.INV(RAND()))</f>
        <v>1.77487104749098</v>
      </c>
      <c r="F384" s="27" t="n">
        <f aca="false">1/(1+EXP(-03_Inputs_Assumptions!$B$14*(E384-03_Inputs_Assumptions!$B$5)))</f>
        <v>0.0081118673411094</v>
      </c>
      <c r="G384" s="28" t="n">
        <f aca="false">D384*04_Baseline_PnL!$B$15*F384*04_Baseline_PnL!$B$14</f>
        <v>58879.949181689</v>
      </c>
      <c r="H384" s="28" t="n">
        <f aca="false">D384*03_Inputs_Assumptions!$B$13*01_Macro_Data!$B$97*($G$7-1)+D384*04_Baseline_PnL!$B$15*04_Baseline_PnL!$B$13*03_Inputs_Assumptions!$B$15*($H$7-1)</f>
        <v>258427.669661684</v>
      </c>
      <c r="I384" s="16" t="n">
        <f aca="false">G384+H384</f>
        <v>317307.618843373</v>
      </c>
    </row>
    <row r="385" customFormat="false" ht="15" hidden="false" customHeight="true" outlineLevel="0" collapsed="false">
      <c r="A385" s="4" t="s">
        <v>303</v>
      </c>
      <c r="B385" s="4" t="n">
        <v>75</v>
      </c>
      <c r="C385" s="24" t="n">
        <f aca="true">RAND()</f>
        <v>0.650506864572375</v>
      </c>
      <c r="D385" s="25" t="n">
        <f aca="false">IF(C385&lt;(($C$7-$B$7)/($D$7-$B$7)),$B$7+SQRT(C385*($D$7-$B$7)*($C$7-$B$7)),$D$7-SQRT((1-C385)*($D$7-$B$7)*($D$7-$C$7)))</f>
        <v>19.6248428584571</v>
      </c>
      <c r="E385" s="26" t="n">
        <f aca="true">MAX(0,$E$7+$F$7*_xlfn.NORM.S.INV(RAND()))</f>
        <v>4.47582240633003</v>
      </c>
      <c r="F385" s="27" t="n">
        <f aca="false">1/(1+EXP(-03_Inputs_Assumptions!$B$14*(E385-03_Inputs_Assumptions!$B$5)))</f>
        <v>0.0158120527841751</v>
      </c>
      <c r="G385" s="28" t="n">
        <f aca="false">D385*04_Baseline_PnL!$B$15*F385*04_Baseline_PnL!$B$14</f>
        <v>88732.7465788094</v>
      </c>
      <c r="H385" s="28" t="n">
        <f aca="false">D385*03_Inputs_Assumptions!$B$13*01_Macro_Data!$B$97*($G$7-1)+D385*04_Baseline_PnL!$B$15*04_Baseline_PnL!$B$13*03_Inputs_Assumptions!$B$15*($H$7-1)</f>
        <v>199796.60017338</v>
      </c>
      <c r="I385" s="16" t="n">
        <f aca="false">G385+H385</f>
        <v>288529.34675219</v>
      </c>
    </row>
    <row r="386" customFormat="false" ht="15" hidden="false" customHeight="true" outlineLevel="0" collapsed="false">
      <c r="A386" s="4" t="s">
        <v>303</v>
      </c>
      <c r="B386" s="4" t="n">
        <v>76</v>
      </c>
      <c r="C386" s="24" t="n">
        <f aca="true">RAND()</f>
        <v>0.456746417954158</v>
      </c>
      <c r="D386" s="25" t="n">
        <f aca="false">IF(C386&lt;(($C$7-$B$7)/($D$7-$B$7)),$B$7+SQRT(C386*($D$7-$B$7)*($C$7-$B$7)),$D$7-SQRT((1-C386)*($D$7-$B$7)*($D$7-$C$7)))</f>
        <v>17.0646954705303</v>
      </c>
      <c r="E386" s="26" t="n">
        <f aca="true">MAX(0,$E$7+$F$7*_xlfn.NORM.S.INV(RAND()))</f>
        <v>5.36096748757733</v>
      </c>
      <c r="F386" s="27" t="n">
        <f aca="false">1/(1+EXP(-03_Inputs_Assumptions!$B$14*(E386-03_Inputs_Assumptions!$B$5)))</f>
        <v>0.0196514291289732</v>
      </c>
      <c r="G386" s="28" t="n">
        <f aca="false">D386*04_Baseline_PnL!$B$15*F386*04_Baseline_PnL!$B$14</f>
        <v>95891.952845678</v>
      </c>
      <c r="H386" s="28" t="n">
        <f aca="false">D386*03_Inputs_Assumptions!$B$13*01_Macro_Data!$B$97*($G$7-1)+D386*04_Baseline_PnL!$B$15*04_Baseline_PnL!$B$13*03_Inputs_Assumptions!$B$15*($H$7-1)</f>
        <v>173732.251646375</v>
      </c>
      <c r="I386" s="16" t="n">
        <f aca="false">G386+H386</f>
        <v>269624.204492053</v>
      </c>
    </row>
    <row r="387" customFormat="false" ht="15" hidden="false" customHeight="true" outlineLevel="0" collapsed="false">
      <c r="A387" s="4" t="s">
        <v>303</v>
      </c>
      <c r="B387" s="4" t="n">
        <v>77</v>
      </c>
      <c r="C387" s="24" t="n">
        <f aca="true">RAND()</f>
        <v>0.380543123838525</v>
      </c>
      <c r="D387" s="25" t="n">
        <f aca="false">IF(C387&lt;(($C$7-$B$7)/($D$7-$B$7)),$B$7+SQRT(C387*($D$7-$B$7)*($C$7-$B$7)),$D$7-SQRT((1-C387)*($D$7-$B$7)*($D$7-$C$7)))</f>
        <v>16.1872262793552</v>
      </c>
      <c r="E387" s="26" t="n">
        <f aca="true">MAX(0,$E$7+$F$7*_xlfn.NORM.S.INV(RAND()))</f>
        <v>5.18116121954706</v>
      </c>
      <c r="F387" s="27" t="n">
        <f aca="false">1/(1+EXP(-03_Inputs_Assumptions!$B$14*(E387-03_Inputs_Assumptions!$B$5)))</f>
        <v>0.0188038695091854</v>
      </c>
      <c r="G387" s="28" t="n">
        <f aca="false">D387*04_Baseline_PnL!$B$15*F387*04_Baseline_PnL!$B$14</f>
        <v>87038.0490256422</v>
      </c>
      <c r="H387" s="28" t="n">
        <f aca="false">D387*03_Inputs_Assumptions!$B$13*01_Macro_Data!$B$97*($G$7-1)+D387*04_Baseline_PnL!$B$15*04_Baseline_PnL!$B$13*03_Inputs_Assumptions!$B$15*($H$7-1)</f>
        <v>164798.91330486</v>
      </c>
      <c r="I387" s="16" t="n">
        <f aca="false">G387+H387</f>
        <v>251836.962330502</v>
      </c>
    </row>
    <row r="388" customFormat="false" ht="15" hidden="false" customHeight="true" outlineLevel="0" collapsed="false">
      <c r="A388" s="4" t="s">
        <v>303</v>
      </c>
      <c r="B388" s="4" t="n">
        <v>78</v>
      </c>
      <c r="C388" s="24" t="n">
        <f aca="true">RAND()</f>
        <v>0.0208894028338467</v>
      </c>
      <c r="D388" s="25" t="n">
        <f aca="false">IF(C388&lt;(($C$7-$B$7)/($D$7-$B$7)),$B$7+SQRT(C388*($D$7-$B$7)*($C$7-$B$7)),$D$7-SQRT((1-C388)*($D$7-$B$7)*($D$7-$C$7)))</f>
        <v>9.9174292421774</v>
      </c>
      <c r="E388" s="26" t="n">
        <f aca="true">MAX(0,$E$7+$F$7*_xlfn.NORM.S.INV(RAND()))</f>
        <v>3.53711539384851</v>
      </c>
      <c r="F388" s="27" t="n">
        <f aca="false">1/(1+EXP(-03_Inputs_Assumptions!$B$14*(E388-03_Inputs_Assumptions!$B$5)))</f>
        <v>0.0125460851371999</v>
      </c>
      <c r="G388" s="28" t="n">
        <f aca="false">D388*04_Baseline_PnL!$B$15*F388*04_Baseline_PnL!$B$14</f>
        <v>35579.2527131991</v>
      </c>
      <c r="H388" s="28" t="n">
        <f aca="false">D388*03_Inputs_Assumptions!$B$13*01_Macro_Data!$B$97*($G$7-1)+D388*04_Baseline_PnL!$B$15*04_Baseline_PnL!$B$13*03_Inputs_Assumptions!$B$15*($H$7-1)</f>
        <v>100967.36362876</v>
      </c>
      <c r="I388" s="16" t="n">
        <f aca="false">G388+H388</f>
        <v>136546.616341959</v>
      </c>
    </row>
    <row r="389" customFormat="false" ht="15" hidden="false" customHeight="true" outlineLevel="0" collapsed="false">
      <c r="A389" s="4" t="s">
        <v>303</v>
      </c>
      <c r="B389" s="4" t="n">
        <v>79</v>
      </c>
      <c r="C389" s="24" t="n">
        <f aca="true">RAND()</f>
        <v>0.437415954786786</v>
      </c>
      <c r="D389" s="25" t="n">
        <f aca="false">IF(C389&lt;(($C$7-$B$7)/($D$7-$B$7)),$B$7+SQRT(C389*($D$7-$B$7)*($C$7-$B$7)),$D$7-SQRT((1-C389)*($D$7-$B$7)*($D$7-$C$7)))</f>
        <v>16.8365701306358</v>
      </c>
      <c r="E389" s="26" t="n">
        <f aca="true">MAX(0,$E$7+$F$7*_xlfn.NORM.S.INV(RAND()))</f>
        <v>2.20368963006003</v>
      </c>
      <c r="F389" s="27" t="n">
        <f aca="false">1/(1+EXP(-03_Inputs_Assumptions!$B$14*(E389-03_Inputs_Assumptions!$B$5)))</f>
        <v>0.00902154138375088</v>
      </c>
      <c r="G389" s="28" t="n">
        <f aca="false">D389*04_Baseline_PnL!$B$15*F389*04_Baseline_PnL!$B$14</f>
        <v>43433.4022998222</v>
      </c>
      <c r="H389" s="28" t="n">
        <f aca="false">D389*03_Inputs_Assumptions!$B$13*01_Macro_Data!$B$97*($G$7-1)+D389*04_Baseline_PnL!$B$15*04_Baseline_PnL!$B$13*03_Inputs_Assumptions!$B$15*($H$7-1)</f>
        <v>171409.753185977</v>
      </c>
      <c r="I389" s="16" t="n">
        <f aca="false">G389+H389</f>
        <v>214843.155485799</v>
      </c>
    </row>
    <row r="390" customFormat="false" ht="15" hidden="false" customHeight="true" outlineLevel="0" collapsed="false">
      <c r="A390" s="4" t="s">
        <v>303</v>
      </c>
      <c r="B390" s="4" t="n">
        <v>80</v>
      </c>
      <c r="C390" s="24" t="n">
        <f aca="true">RAND()</f>
        <v>0.9699520727062</v>
      </c>
      <c r="D390" s="25" t="n">
        <f aca="false">IF(C390&lt;(($C$7-$B$7)/($D$7-$B$7)),$B$7+SQRT(C390*($D$7-$B$7)*($C$7-$B$7)),$D$7-SQRT((1-C390)*($D$7-$B$7)*($D$7-$C$7)))</f>
        <v>26.9578360322806</v>
      </c>
      <c r="E390" s="26" t="n">
        <f aca="true">MAX(0,$E$7+$F$7*_xlfn.NORM.S.INV(RAND()))</f>
        <v>3.36063929278406</v>
      </c>
      <c r="F390" s="27" t="n">
        <f aca="false">1/(1+EXP(-03_Inputs_Assumptions!$B$14*(E390-03_Inputs_Assumptions!$B$5)))</f>
        <v>0.0120111007573867</v>
      </c>
      <c r="G390" s="28" t="n">
        <f aca="false">D390*04_Baseline_PnL!$B$15*F390*04_Baseline_PnL!$B$14</f>
        <v>92588.5576827892</v>
      </c>
      <c r="H390" s="28" t="n">
        <f aca="false">D390*03_Inputs_Assumptions!$B$13*01_Macro_Data!$B$97*($G$7-1)+D390*04_Baseline_PnL!$B$15*04_Baseline_PnL!$B$13*03_Inputs_Assumptions!$B$15*($H$7-1)</f>
        <v>274452.337077442</v>
      </c>
      <c r="I390" s="16" t="n">
        <f aca="false">G390+H390</f>
        <v>367040.894760231</v>
      </c>
    </row>
    <row r="391" customFormat="false" ht="15" hidden="false" customHeight="true" outlineLevel="0" collapsed="false">
      <c r="A391" s="4" t="s">
        <v>303</v>
      </c>
      <c r="B391" s="4" t="n">
        <v>81</v>
      </c>
      <c r="C391" s="24" t="n">
        <f aca="true">RAND()</f>
        <v>0.759407494210309</v>
      </c>
      <c r="D391" s="25" t="n">
        <f aca="false">IF(C391&lt;(($C$7-$B$7)/($D$7-$B$7)),$B$7+SQRT(C391*($D$7-$B$7)*($C$7-$B$7)),$D$7-SQRT((1-C391)*($D$7-$B$7)*($D$7-$C$7)))</f>
        <v>21.3917195803561</v>
      </c>
      <c r="E391" s="26" t="n">
        <f aca="true">MAX(0,$E$7+$F$7*_xlfn.NORM.S.INV(RAND()))</f>
        <v>1.05830938346583</v>
      </c>
      <c r="F391" s="27" t="n">
        <f aca="false">1/(1+EXP(-03_Inputs_Assumptions!$B$14*(E391-03_Inputs_Assumptions!$B$5)))</f>
        <v>0.00679046215015488</v>
      </c>
      <c r="G391" s="28" t="n">
        <f aca="false">D391*04_Baseline_PnL!$B$15*F391*04_Baseline_PnL!$B$14</f>
        <v>41536.941124965</v>
      </c>
      <c r="H391" s="28" t="n">
        <f aca="false">D391*03_Inputs_Assumptions!$B$13*01_Macro_Data!$B$97*($G$7-1)+D391*04_Baseline_PnL!$B$15*04_Baseline_PnL!$B$13*03_Inputs_Assumptions!$B$15*($H$7-1)</f>
        <v>217784.818703689</v>
      </c>
      <c r="I391" s="16" t="n">
        <f aca="false">G391+H391</f>
        <v>259321.759828654</v>
      </c>
    </row>
    <row r="392" customFormat="false" ht="15" hidden="false" customHeight="true" outlineLevel="0" collapsed="false">
      <c r="A392" s="4" t="s">
        <v>303</v>
      </c>
      <c r="B392" s="4" t="n">
        <v>82</v>
      </c>
      <c r="C392" s="24" t="n">
        <f aca="true">RAND()</f>
        <v>0.758607302817176</v>
      </c>
      <c r="D392" s="25" t="n">
        <f aca="false">IF(C392&lt;(($C$7-$B$7)/($D$7-$B$7)),$B$7+SQRT(C392*($D$7-$B$7)*($C$7-$B$7)),$D$7-SQRT((1-C392)*($D$7-$B$7)*($D$7-$C$7)))</f>
        <v>21.377416238023</v>
      </c>
      <c r="E392" s="26" t="n">
        <f aca="true">MAX(0,$E$7+$F$7*_xlfn.NORM.S.INV(RAND()))</f>
        <v>1.18530583794082</v>
      </c>
      <c r="F392" s="27" t="n">
        <f aca="false">1/(1+EXP(-03_Inputs_Assumptions!$B$14*(E392-03_Inputs_Assumptions!$B$5)))</f>
        <v>0.00700797712943662</v>
      </c>
      <c r="G392" s="28" t="n">
        <f aca="false">D392*04_Baseline_PnL!$B$15*F392*04_Baseline_PnL!$B$14</f>
        <v>42838.8072647982</v>
      </c>
      <c r="H392" s="28" t="n">
        <f aca="false">D392*03_Inputs_Assumptions!$B$13*01_Macro_Data!$B$97*($G$7-1)+D392*04_Baseline_PnL!$B$15*04_Baseline_PnL!$B$13*03_Inputs_Assumptions!$B$15*($H$7-1)</f>
        <v>217639.199236065</v>
      </c>
      <c r="I392" s="16" t="n">
        <f aca="false">G392+H392</f>
        <v>260478.006500863</v>
      </c>
    </row>
    <row r="393" customFormat="false" ht="15" hidden="false" customHeight="true" outlineLevel="0" collapsed="false">
      <c r="A393" s="4" t="s">
        <v>303</v>
      </c>
      <c r="B393" s="4" t="n">
        <v>83</v>
      </c>
      <c r="C393" s="24" t="n">
        <f aca="true">RAND()</f>
        <v>0.151114212484726</v>
      </c>
      <c r="D393" s="25" t="n">
        <f aca="false">IF(C393&lt;(($C$7-$B$7)/($D$7-$B$7)),$B$7+SQRT(C393*($D$7-$B$7)*($C$7-$B$7)),$D$7-SQRT((1-C393)*($D$7-$B$7)*($D$7-$C$7)))</f>
        <v>13.157140816122</v>
      </c>
      <c r="E393" s="26" t="n">
        <f aca="true">MAX(0,$E$7+$F$7*_xlfn.NORM.S.INV(RAND()))</f>
        <v>3.15167151122468</v>
      </c>
      <c r="F393" s="27" t="n">
        <f aca="false">1/(1+EXP(-03_Inputs_Assumptions!$B$14*(E393-03_Inputs_Assumptions!$B$5)))</f>
        <v>0.0114066999925117</v>
      </c>
      <c r="G393" s="28" t="n">
        <f aca="false">D393*04_Baseline_PnL!$B$15*F393*04_Baseline_PnL!$B$14</f>
        <v>42915.1883944622</v>
      </c>
      <c r="H393" s="28" t="n">
        <f aca="false">D393*03_Inputs_Assumptions!$B$13*01_Macro_Data!$B$97*($G$7-1)+D393*04_Baseline_PnL!$B$15*04_Baseline_PnL!$B$13*03_Inputs_Assumptions!$B$15*($H$7-1)</f>
        <v>133950.219220775</v>
      </c>
      <c r="I393" s="16" t="n">
        <f aca="false">G393+H393</f>
        <v>176865.407615238</v>
      </c>
    </row>
    <row r="394" customFormat="false" ht="15" hidden="false" customHeight="true" outlineLevel="0" collapsed="false">
      <c r="A394" s="4" t="s">
        <v>303</v>
      </c>
      <c r="B394" s="4" t="n">
        <v>84</v>
      </c>
      <c r="C394" s="24" t="n">
        <f aca="true">RAND()</f>
        <v>0.369824508855223</v>
      </c>
      <c r="D394" s="25" t="n">
        <f aca="false">IF(C394&lt;(($C$7-$B$7)/($D$7-$B$7)),$B$7+SQRT(C394*($D$7-$B$7)*($C$7-$B$7)),$D$7-SQRT((1-C394)*($D$7-$B$7)*($D$7-$C$7)))</f>
        <v>16.0682358879935</v>
      </c>
      <c r="E394" s="26" t="n">
        <f aca="true">MAX(0,$E$7+$F$7*_xlfn.NORM.S.INV(RAND()))</f>
        <v>1.72847083123973</v>
      </c>
      <c r="F394" s="27" t="n">
        <f aca="false">1/(1+EXP(-03_Inputs_Assumptions!$B$14*(E394-03_Inputs_Assumptions!$B$5)))</f>
        <v>0.00801906312760282</v>
      </c>
      <c r="G394" s="28" t="n">
        <f aca="false">D394*04_Baseline_PnL!$B$15*F394*04_Baseline_PnL!$B$14</f>
        <v>36845.233430304</v>
      </c>
      <c r="H394" s="28" t="n">
        <f aca="false">D394*03_Inputs_Assumptions!$B$13*01_Macro_Data!$B$97*($G$7-1)+D394*04_Baseline_PnL!$B$15*04_Baseline_PnL!$B$13*03_Inputs_Assumptions!$B$15*($H$7-1)</f>
        <v>163587.495928485</v>
      </c>
      <c r="I394" s="16" t="n">
        <f aca="false">G394+H394</f>
        <v>200432.729358789</v>
      </c>
    </row>
    <row r="395" customFormat="false" ht="15" hidden="false" customHeight="true" outlineLevel="0" collapsed="false">
      <c r="A395" s="4" t="s">
        <v>303</v>
      </c>
      <c r="B395" s="4" t="n">
        <v>85</v>
      </c>
      <c r="C395" s="24" t="n">
        <f aca="true">RAND()</f>
        <v>0.503415046068139</v>
      </c>
      <c r="D395" s="25" t="n">
        <f aca="false">IF(C395&lt;(($C$7-$B$7)/($D$7-$B$7)),$B$7+SQRT(C395*($D$7-$B$7)*($C$7-$B$7)),$D$7-SQRT((1-C395)*($D$7-$B$7)*($D$7-$C$7)))</f>
        <v>17.6327785735432</v>
      </c>
      <c r="E395" s="26" t="n">
        <f aca="true">MAX(0,$E$7+$F$7*_xlfn.NORM.S.INV(RAND()))</f>
        <v>4.23933333636758</v>
      </c>
      <c r="F395" s="27" t="n">
        <f aca="false">1/(1+EXP(-03_Inputs_Assumptions!$B$14*(E395-03_Inputs_Assumptions!$B$5)))</f>
        <v>0.0149178483877231</v>
      </c>
      <c r="G395" s="28" t="n">
        <f aca="false">D395*04_Baseline_PnL!$B$15*F395*04_Baseline_PnL!$B$14</f>
        <v>75217.0721081171</v>
      </c>
      <c r="H395" s="28" t="n">
        <f aca="false">D395*03_Inputs_Assumptions!$B$13*01_Macro_Data!$B$97*($G$7-1)+D395*04_Baseline_PnL!$B$15*04_Baseline_PnL!$B$13*03_Inputs_Assumptions!$B$15*($H$7-1)</f>
        <v>179515.792101528</v>
      </c>
      <c r="I395" s="16" t="n">
        <f aca="false">G395+H395</f>
        <v>254732.864209646</v>
      </c>
    </row>
    <row r="396" customFormat="false" ht="15" hidden="false" customHeight="true" outlineLevel="0" collapsed="false">
      <c r="A396" s="4" t="s">
        <v>303</v>
      </c>
      <c r="B396" s="4" t="n">
        <v>86</v>
      </c>
      <c r="C396" s="24" t="n">
        <f aca="true">RAND()</f>
        <v>0.678729205879495</v>
      </c>
      <c r="D396" s="25" t="n">
        <f aca="false">IF(C396&lt;(($C$7-$B$7)/($D$7-$B$7)),$B$7+SQRT(C396*($D$7-$B$7)*($C$7-$B$7)),$D$7-SQRT((1-C396)*($D$7-$B$7)*($D$7-$C$7)))</f>
        <v>20.0525679399598</v>
      </c>
      <c r="E396" s="26" t="n">
        <f aca="true">MAX(0,$E$7+$F$7*_xlfn.NORM.S.INV(RAND()))</f>
        <v>3.54280296553769</v>
      </c>
      <c r="F396" s="27" t="n">
        <f aca="false">1/(1+EXP(-03_Inputs_Assumptions!$B$14*(E396-03_Inputs_Assumptions!$B$5)))</f>
        <v>0.0125637127297094</v>
      </c>
      <c r="G396" s="28" t="n">
        <f aca="false">D396*04_Baseline_PnL!$B$15*F396*04_Baseline_PnL!$B$14</f>
        <v>72040.6255642534</v>
      </c>
      <c r="H396" s="28" t="n">
        <f aca="false">D396*03_Inputs_Assumptions!$B$13*01_Macro_Data!$B$97*($G$7-1)+D396*04_Baseline_PnL!$B$15*04_Baseline_PnL!$B$13*03_Inputs_Assumptions!$B$15*($H$7-1)</f>
        <v>204151.183683143</v>
      </c>
      <c r="I396" s="16" t="n">
        <f aca="false">G396+H396</f>
        <v>276191.809247396</v>
      </c>
    </row>
    <row r="397" customFormat="false" ht="15" hidden="false" customHeight="true" outlineLevel="0" collapsed="false">
      <c r="A397" s="4" t="s">
        <v>303</v>
      </c>
      <c r="B397" s="4" t="n">
        <v>87</v>
      </c>
      <c r="C397" s="24" t="n">
        <f aca="true">RAND()</f>
        <v>0.135543520906183</v>
      </c>
      <c r="D397" s="25" t="n">
        <f aca="false">IF(C397&lt;(($C$7-$B$7)/($D$7-$B$7)),$B$7+SQRT(C397*($D$7-$B$7)*($C$7-$B$7)),$D$7-SQRT((1-C397)*($D$7-$B$7)*($D$7-$C$7)))</f>
        <v>12.8842255967029</v>
      </c>
      <c r="E397" s="26" t="n">
        <f aca="true">MAX(0,$E$7+$F$7*_xlfn.NORM.S.INV(RAND()))</f>
        <v>5.35945531024409</v>
      </c>
      <c r="F397" s="27" t="n">
        <f aca="false">1/(1+EXP(-03_Inputs_Assumptions!$B$14*(E397-03_Inputs_Assumptions!$B$5)))</f>
        <v>0.0196441473326166</v>
      </c>
      <c r="G397" s="28" t="n">
        <f aca="false">D397*04_Baseline_PnL!$B$15*F397*04_Baseline_PnL!$B$14</f>
        <v>72373.7347629801</v>
      </c>
      <c r="H397" s="28" t="n">
        <f aca="false">D397*03_Inputs_Assumptions!$B$13*01_Macro_Data!$B$97*($G$7-1)+D397*04_Baseline_PnL!$B$15*04_Baseline_PnL!$B$13*03_Inputs_Assumptions!$B$15*($H$7-1)</f>
        <v>131171.723954913</v>
      </c>
      <c r="I397" s="16" t="n">
        <f aca="false">G397+H397</f>
        <v>203545.458717894</v>
      </c>
    </row>
    <row r="398" customFormat="false" ht="15" hidden="false" customHeight="true" outlineLevel="0" collapsed="false">
      <c r="A398" s="4" t="s">
        <v>303</v>
      </c>
      <c r="B398" s="4" t="n">
        <v>88</v>
      </c>
      <c r="C398" s="24" t="n">
        <f aca="true">RAND()</f>
        <v>0.170369673714046</v>
      </c>
      <c r="D398" s="25" t="n">
        <f aca="false">IF(C398&lt;(($C$7-$B$7)/($D$7-$B$7)),$B$7+SQRT(C398*($D$7-$B$7)*($C$7-$B$7)),$D$7-SQRT((1-C398)*($D$7-$B$7)*($D$7-$C$7)))</f>
        <v>13.475861811046</v>
      </c>
      <c r="E398" s="26" t="n">
        <f aca="true">MAX(0,$E$7+$F$7*_xlfn.NORM.S.INV(RAND()))</f>
        <v>3.30333888571703</v>
      </c>
      <c r="F398" s="27" t="n">
        <f aca="false">1/(1+EXP(-03_Inputs_Assumptions!$B$14*(E398-03_Inputs_Assumptions!$B$5)))</f>
        <v>0.0118422901056473</v>
      </c>
      <c r="G398" s="28" t="n">
        <f aca="false">D398*04_Baseline_PnL!$B$15*F398*04_Baseline_PnL!$B$14</f>
        <v>45633.2842262588</v>
      </c>
      <c r="H398" s="28" t="n">
        <f aca="false">D398*03_Inputs_Assumptions!$B$13*01_Macro_Data!$B$97*($G$7-1)+D398*04_Baseline_PnL!$B$15*04_Baseline_PnL!$B$13*03_Inputs_Assumptions!$B$15*($H$7-1)</f>
        <v>137195.053925897</v>
      </c>
      <c r="I398" s="16" t="n">
        <f aca="false">G398+H398</f>
        <v>182828.338152156</v>
      </c>
    </row>
    <row r="399" customFormat="false" ht="15" hidden="false" customHeight="true" outlineLevel="0" collapsed="false">
      <c r="A399" s="4" t="s">
        <v>303</v>
      </c>
      <c r="B399" s="4" t="n">
        <v>89</v>
      </c>
      <c r="C399" s="24" t="n">
        <f aca="true">RAND()</f>
        <v>0.413204056658324</v>
      </c>
      <c r="D399" s="25" t="n">
        <f aca="false">IF(C399&lt;(($C$7-$B$7)/($D$7-$B$7)),$B$7+SQRT(C399*($D$7-$B$7)*($C$7-$B$7)),$D$7-SQRT((1-C399)*($D$7-$B$7)*($D$7-$C$7)))</f>
        <v>16.5562969926721</v>
      </c>
      <c r="E399" s="26" t="n">
        <f aca="true">MAX(0,$E$7+$F$7*_xlfn.NORM.S.INV(RAND()))</f>
        <v>3.1993205505012</v>
      </c>
      <c r="F399" s="27" t="n">
        <f aca="false">1/(1+EXP(-03_Inputs_Assumptions!$B$14*(E399-03_Inputs_Assumptions!$B$5)))</f>
        <v>0.0115418144310759</v>
      </c>
      <c r="G399" s="28" t="n">
        <f aca="false">D399*04_Baseline_PnL!$B$15*F399*04_Baseline_PnL!$B$14</f>
        <v>54642.0239144841</v>
      </c>
      <c r="H399" s="28" t="n">
        <f aca="false">D399*03_Inputs_Assumptions!$B$13*01_Macro_Data!$B$97*($G$7-1)+D399*04_Baseline_PnL!$B$15*04_Baseline_PnL!$B$13*03_Inputs_Assumptions!$B$15*($H$7-1)</f>
        <v>168556.348422997</v>
      </c>
      <c r="I399" s="16" t="n">
        <f aca="false">G399+H399</f>
        <v>223198.372337481</v>
      </c>
    </row>
    <row r="400" customFormat="false" ht="15" hidden="false" customHeight="true" outlineLevel="0" collapsed="false">
      <c r="A400" s="4" t="s">
        <v>303</v>
      </c>
      <c r="B400" s="4" t="n">
        <v>90</v>
      </c>
      <c r="C400" s="24" t="n">
        <f aca="true">RAND()</f>
        <v>0.463344950913057</v>
      </c>
      <c r="D400" s="25" t="n">
        <f aca="false">IF(C400&lt;(($C$7-$B$7)/($D$7-$B$7)),$B$7+SQRT(C400*($D$7-$B$7)*($C$7-$B$7)),$D$7-SQRT((1-C400)*($D$7-$B$7)*($D$7-$C$7)))</f>
        <v>17.143493665899</v>
      </c>
      <c r="E400" s="26" t="n">
        <f aca="true">MAX(0,$E$7+$F$7*_xlfn.NORM.S.INV(RAND()))</f>
        <v>3.00576465345838</v>
      </c>
      <c r="F400" s="27" t="n">
        <f aca="false">1/(1+EXP(-03_Inputs_Assumptions!$B$14*(E400-03_Inputs_Assumptions!$B$5)))</f>
        <v>0.0110026136842068</v>
      </c>
      <c r="G400" s="28" t="n">
        <f aca="false">D400*04_Baseline_PnL!$B$15*F400*04_Baseline_PnL!$B$14</f>
        <v>53936.7379524568</v>
      </c>
      <c r="H400" s="28" t="n">
        <f aca="false">D400*03_Inputs_Assumptions!$B$13*01_Macro_Data!$B$97*($G$7-1)+D400*04_Baseline_PnL!$B$15*04_Baseline_PnL!$B$13*03_Inputs_Assumptions!$B$15*($H$7-1)</f>
        <v>174534.480313785</v>
      </c>
      <c r="I400" s="16" t="n">
        <f aca="false">G400+H400</f>
        <v>228471.218266242</v>
      </c>
    </row>
    <row r="401" customFormat="false" ht="15" hidden="false" customHeight="true" outlineLevel="0" collapsed="false">
      <c r="A401" s="4" t="s">
        <v>303</v>
      </c>
      <c r="B401" s="4" t="n">
        <v>91</v>
      </c>
      <c r="C401" s="24" t="n">
        <f aca="true">RAND()</f>
        <v>0.889794364023284</v>
      </c>
      <c r="D401" s="25" t="n">
        <f aca="false">IF(C401&lt;(($C$7-$B$7)/($D$7-$B$7)),$B$7+SQRT(C401*($D$7-$B$7)*($C$7-$B$7)),$D$7-SQRT((1-C401)*($D$7-$B$7)*($D$7-$C$7)))</f>
        <v>24.1739090394306</v>
      </c>
      <c r="E401" s="26" t="n">
        <f aca="true">MAX(0,$E$7+$F$7*_xlfn.NORM.S.INV(RAND()))</f>
        <v>0.169125515333959</v>
      </c>
      <c r="F401" s="27" t="n">
        <f aca="false">1/(1+EXP(-03_Inputs_Assumptions!$B$14*(E401-03_Inputs_Assumptions!$B$5)))</f>
        <v>0.00544434490825088</v>
      </c>
      <c r="G401" s="28" t="n">
        <f aca="false">D401*04_Baseline_PnL!$B$15*F401*04_Baseline_PnL!$B$14</f>
        <v>37634.1399473975</v>
      </c>
      <c r="H401" s="28" t="n">
        <f aca="false">D401*03_Inputs_Assumptions!$B$13*01_Macro_Data!$B$97*($G$7-1)+D401*04_Baseline_PnL!$B$15*04_Baseline_PnL!$B$13*03_Inputs_Assumptions!$B$15*($H$7-1)</f>
        <v>246109.733148635</v>
      </c>
      <c r="I401" s="16" t="n">
        <f aca="false">G401+H401</f>
        <v>283743.873096033</v>
      </c>
    </row>
    <row r="402" customFormat="false" ht="15" hidden="false" customHeight="true" outlineLevel="0" collapsed="false">
      <c r="A402" s="4" t="s">
        <v>303</v>
      </c>
      <c r="B402" s="4" t="n">
        <v>92</v>
      </c>
      <c r="C402" s="24" t="n">
        <f aca="true">RAND()</f>
        <v>0.125792706367468</v>
      </c>
      <c r="D402" s="25" t="n">
        <f aca="false">IF(C402&lt;(($C$7-$B$7)/($D$7-$B$7)),$B$7+SQRT(C402*($D$7-$B$7)*($C$7-$B$7)),$D$7-SQRT((1-C402)*($D$7-$B$7)*($D$7-$C$7)))</f>
        <v>12.7052647450143</v>
      </c>
      <c r="E402" s="26" t="n">
        <f aca="true">MAX(0,$E$7+$F$7*_xlfn.NORM.S.INV(RAND()))</f>
        <v>0</v>
      </c>
      <c r="F402" s="27" t="n">
        <f aca="false">1/(1+EXP(-03_Inputs_Assumptions!$B$14*(E402-03_Inputs_Assumptions!$B$5)))</f>
        <v>0.0052201256935584</v>
      </c>
      <c r="G402" s="28" t="n">
        <f aca="false">D402*04_Baseline_PnL!$B$15*F402*04_Baseline_PnL!$B$14</f>
        <v>18965.0573640408</v>
      </c>
      <c r="H402" s="28" t="n">
        <f aca="false">D402*03_Inputs_Assumptions!$B$13*01_Macro_Data!$B$97*($G$7-1)+D402*04_Baseline_PnL!$B$15*04_Baseline_PnL!$B$13*03_Inputs_Assumptions!$B$15*($H$7-1)</f>
        <v>129349.759316041</v>
      </c>
      <c r="I402" s="16" t="n">
        <f aca="false">G402+H402</f>
        <v>148314.816680082</v>
      </c>
    </row>
    <row r="403" customFormat="false" ht="15" hidden="false" customHeight="true" outlineLevel="0" collapsed="false">
      <c r="A403" s="4" t="s">
        <v>303</v>
      </c>
      <c r="B403" s="4" t="n">
        <v>93</v>
      </c>
      <c r="C403" s="24" t="n">
        <f aca="true">RAND()</f>
        <v>0.902615749858837</v>
      </c>
      <c r="D403" s="25" t="n">
        <f aca="false">IF(C403&lt;(($C$7-$B$7)/($D$7-$B$7)),$B$7+SQRT(C403*($D$7-$B$7)*($C$7-$B$7)),$D$7-SQRT((1-C403)*($D$7-$B$7)*($D$7-$C$7)))</f>
        <v>24.5232903086362</v>
      </c>
      <c r="E403" s="26" t="n">
        <f aca="true">MAX(0,$E$7+$F$7*_xlfn.NORM.S.INV(RAND()))</f>
        <v>1.45479004210491</v>
      </c>
      <c r="F403" s="27" t="n">
        <f aca="false">1/(1+EXP(-03_Inputs_Assumptions!$B$14*(E403-03_Inputs_Assumptions!$B$5)))</f>
        <v>0.00749271981854474</v>
      </c>
      <c r="G403" s="28" t="n">
        <f aca="false">D403*04_Baseline_PnL!$B$15*F403*04_Baseline_PnL!$B$14</f>
        <v>52542.1347150147</v>
      </c>
      <c r="H403" s="28" t="n">
        <f aca="false">D403*03_Inputs_Assumptions!$B$13*01_Macro_Data!$B$97*($G$7-1)+D403*04_Baseline_PnL!$B$15*04_Baseline_PnL!$B$13*03_Inputs_Assumptions!$B$15*($H$7-1)</f>
        <v>249666.713974164</v>
      </c>
      <c r="I403" s="16" t="n">
        <f aca="false">G403+H403</f>
        <v>302208.848689178</v>
      </c>
    </row>
    <row r="404" customFormat="false" ht="15" hidden="false" customHeight="true" outlineLevel="0" collapsed="false">
      <c r="A404" s="4" t="s">
        <v>303</v>
      </c>
      <c r="B404" s="4" t="n">
        <v>94</v>
      </c>
      <c r="C404" s="24" t="n">
        <f aca="true">RAND()</f>
        <v>0.36639645850472</v>
      </c>
      <c r="D404" s="25" t="n">
        <f aca="false">IF(C404&lt;(($C$7-$B$7)/($D$7-$B$7)),$B$7+SQRT(C404*($D$7-$B$7)*($C$7-$B$7)),$D$7-SQRT((1-C404)*($D$7-$B$7)*($D$7-$C$7)))</f>
        <v>16.0303940363178</v>
      </c>
      <c r="E404" s="26" t="n">
        <f aca="true">MAX(0,$E$7+$F$7*_xlfn.NORM.S.INV(RAND()))</f>
        <v>2.90833377351445</v>
      </c>
      <c r="F404" s="27" t="n">
        <f aca="false">1/(1+EXP(-03_Inputs_Assumptions!$B$14*(E404-03_Inputs_Assumptions!$B$5)))</f>
        <v>0.0107406963958417</v>
      </c>
      <c r="G404" s="28" t="n">
        <f aca="false">D404*04_Baseline_PnL!$B$15*F404*04_Baseline_PnL!$B$14</f>
        <v>49234.1131737228</v>
      </c>
      <c r="H404" s="28" t="n">
        <f aca="false">D404*03_Inputs_Assumptions!$B$13*01_Macro_Data!$B$97*($G$7-1)+D404*04_Baseline_PnL!$B$15*04_Baseline_PnL!$B$13*03_Inputs_Assumptions!$B$15*($H$7-1)</f>
        <v>163202.235604944</v>
      </c>
      <c r="I404" s="16" t="n">
        <f aca="false">G404+H404</f>
        <v>212436.348778667</v>
      </c>
    </row>
    <row r="405" customFormat="false" ht="15" hidden="false" customHeight="true" outlineLevel="0" collapsed="false">
      <c r="A405" s="4" t="s">
        <v>303</v>
      </c>
      <c r="B405" s="4" t="n">
        <v>95</v>
      </c>
      <c r="C405" s="24" t="n">
        <f aca="true">RAND()</f>
        <v>0.791079876984122</v>
      </c>
      <c r="D405" s="25" t="n">
        <f aca="false">IF(C405&lt;(($C$7-$B$7)/($D$7-$B$7)),$B$7+SQRT(C405*($D$7-$B$7)*($C$7-$B$7)),$D$7-SQRT((1-C405)*($D$7-$B$7)*($D$7-$C$7)))</f>
        <v>21.9783170164304</v>
      </c>
      <c r="E405" s="26" t="n">
        <f aca="true">MAX(0,$E$7+$F$7*_xlfn.NORM.S.INV(RAND()))</f>
        <v>5.13288027188651</v>
      </c>
      <c r="F405" s="27" t="n">
        <f aca="false">1/(1+EXP(-03_Inputs_Assumptions!$B$14*(E405-03_Inputs_Assumptions!$B$5)))</f>
        <v>0.0185824588846663</v>
      </c>
      <c r="G405" s="28" t="n">
        <f aca="false">D405*04_Baseline_PnL!$B$15*F405*04_Baseline_PnL!$B$14</f>
        <v>116785.008098706</v>
      </c>
      <c r="H405" s="28" t="n">
        <f aca="false">D405*03_Inputs_Assumptions!$B$13*01_Macro_Data!$B$97*($G$7-1)+D405*04_Baseline_PnL!$B$15*04_Baseline_PnL!$B$13*03_Inputs_Assumptions!$B$15*($H$7-1)</f>
        <v>223756.849880875</v>
      </c>
      <c r="I405" s="16" t="n">
        <f aca="false">G405+H405</f>
        <v>340541.857979581</v>
      </c>
    </row>
    <row r="406" customFormat="false" ht="15" hidden="false" customHeight="true" outlineLevel="0" collapsed="false">
      <c r="A406" s="4" t="s">
        <v>303</v>
      </c>
      <c r="B406" s="4" t="n">
        <v>96</v>
      </c>
      <c r="C406" s="24" t="n">
        <f aca="true">RAND()</f>
        <v>0.366501397090684</v>
      </c>
      <c r="D406" s="25" t="n">
        <f aca="false">IF(C406&lt;(($C$7-$B$7)/($D$7-$B$7)),$B$7+SQRT(C406*($D$7-$B$7)*($C$7-$B$7)),$D$7-SQRT((1-C406)*($D$7-$B$7)*($D$7-$C$7)))</f>
        <v>16.0315509201605</v>
      </c>
      <c r="E406" s="26" t="n">
        <f aca="true">MAX(0,$E$7+$F$7*_xlfn.NORM.S.INV(RAND()))</f>
        <v>3.32513428164044</v>
      </c>
      <c r="F406" s="27" t="n">
        <f aca="false">1/(1+EXP(-03_Inputs_Assumptions!$B$14*(E406-03_Inputs_Assumptions!$B$5)))</f>
        <v>0.0119062227063328</v>
      </c>
      <c r="G406" s="28" t="n">
        <f aca="false">D406*04_Baseline_PnL!$B$15*F406*04_Baseline_PnL!$B$14</f>
        <v>54580.6900226402</v>
      </c>
      <c r="H406" s="28" t="n">
        <f aca="false">D406*03_Inputs_Assumptions!$B$13*01_Macro_Data!$B$97*($G$7-1)+D406*04_Baseline_PnL!$B$15*04_Baseline_PnL!$B$13*03_Inputs_Assumptions!$B$15*($H$7-1)</f>
        <v>163214.01360797</v>
      </c>
      <c r="I406" s="16" t="n">
        <f aca="false">G406+H406</f>
        <v>217794.70363061</v>
      </c>
    </row>
    <row r="407" customFormat="false" ht="15" hidden="false" customHeight="true" outlineLevel="0" collapsed="false">
      <c r="A407" s="4" t="s">
        <v>303</v>
      </c>
      <c r="B407" s="4" t="n">
        <v>97</v>
      </c>
      <c r="C407" s="24" t="n">
        <f aca="true">RAND()</f>
        <v>0.435080987875464</v>
      </c>
      <c r="D407" s="25" t="n">
        <f aca="false">IF(C407&lt;(($C$7-$B$7)/($D$7-$B$7)),$B$7+SQRT(C407*($D$7-$B$7)*($C$7-$B$7)),$D$7-SQRT((1-C407)*($D$7-$B$7)*($D$7-$C$7)))</f>
        <v>16.809281454964</v>
      </c>
      <c r="E407" s="26" t="n">
        <f aca="true">MAX(0,$E$7+$F$7*_xlfn.NORM.S.INV(RAND()))</f>
        <v>0.885494481982704</v>
      </c>
      <c r="F407" s="27" t="n">
        <f aca="false">1/(1+EXP(-03_Inputs_Assumptions!$B$14*(E407-03_Inputs_Assumptions!$B$5)))</f>
        <v>0.00650520382202409</v>
      </c>
      <c r="G407" s="28" t="n">
        <f aca="false">D407*04_Baseline_PnL!$B$15*F407*04_Baseline_PnL!$B$14</f>
        <v>31267.9593604661</v>
      </c>
      <c r="H407" s="28" t="n">
        <f aca="false">D407*03_Inputs_Assumptions!$B$13*01_Macro_Data!$B$97*($G$7-1)+D407*04_Baseline_PnL!$B$15*04_Baseline_PnL!$B$13*03_Inputs_Assumptions!$B$15*($H$7-1)</f>
        <v>171131.932636697</v>
      </c>
      <c r="I407" s="16" t="n">
        <f aca="false">G407+H407</f>
        <v>202399.891997164</v>
      </c>
    </row>
    <row r="408" customFormat="false" ht="15" hidden="false" customHeight="true" outlineLevel="0" collapsed="false">
      <c r="A408" s="4" t="s">
        <v>303</v>
      </c>
      <c r="B408" s="4" t="n">
        <v>98</v>
      </c>
      <c r="C408" s="24" t="n">
        <f aca="true">RAND()</f>
        <v>0.712152764190668</v>
      </c>
      <c r="D408" s="25" t="n">
        <f aca="false">IF(C408&lt;(($C$7-$B$7)/($D$7-$B$7)),$B$7+SQRT(C408*($D$7-$B$7)*($C$7-$B$7)),$D$7-SQRT((1-C408)*($D$7-$B$7)*($D$7-$C$7)))</f>
        <v>20.5842181084482</v>
      </c>
      <c r="E408" s="26" t="n">
        <f aca="true">MAX(0,$E$7+$F$7*_xlfn.NORM.S.INV(RAND()))</f>
        <v>4.97082798798314</v>
      </c>
      <c r="F408" s="27" t="n">
        <f aca="false">1/(1+EXP(-03_Inputs_Assumptions!$B$14*(E408-03_Inputs_Assumptions!$B$5)))</f>
        <v>0.0178578475973759</v>
      </c>
      <c r="G408" s="28" t="n">
        <f aca="false">D408*04_Baseline_PnL!$B$15*F408*04_Baseline_PnL!$B$14</f>
        <v>105112.161887982</v>
      </c>
      <c r="H408" s="28" t="n">
        <f aca="false">D408*03_Inputs_Assumptions!$B$13*01_Macro_Data!$B$97*($G$7-1)+D408*04_Baseline_PnL!$B$15*04_Baseline_PnL!$B$13*03_Inputs_Assumptions!$B$15*($H$7-1)</f>
        <v>209563.80771849</v>
      </c>
      <c r="I408" s="16" t="n">
        <f aca="false">G408+H408</f>
        <v>314675.969606472</v>
      </c>
    </row>
    <row r="409" customFormat="false" ht="15" hidden="false" customHeight="true" outlineLevel="0" collapsed="false">
      <c r="A409" s="4" t="s">
        <v>303</v>
      </c>
      <c r="B409" s="4" t="n">
        <v>99</v>
      </c>
      <c r="C409" s="24" t="n">
        <f aca="true">RAND()</f>
        <v>0.00758077650495624</v>
      </c>
      <c r="D409" s="25" t="n">
        <f aca="false">IF(C409&lt;(($C$7-$B$7)/($D$7-$B$7)),$B$7+SQRT(C409*($D$7-$B$7)*($C$7-$B$7)),$D$7-SQRT((1-C409)*($D$7-$B$7)*($D$7-$C$7)))</f>
        <v>9.15508296882618</v>
      </c>
      <c r="E409" s="26" t="n">
        <f aca="true">MAX(0,$E$7+$F$7*_xlfn.NORM.S.INV(RAND()))</f>
        <v>3.60702298427897</v>
      </c>
      <c r="F409" s="27" t="n">
        <f aca="false">1/(1+EXP(-03_Inputs_Assumptions!$B$14*(E409-03_Inputs_Assumptions!$B$5)))</f>
        <v>0.0127644556242122</v>
      </c>
      <c r="G409" s="28" t="n">
        <f aca="false">D409*04_Baseline_PnL!$B$15*F409*04_Baseline_PnL!$B$14</f>
        <v>33415.9693243823</v>
      </c>
      <c r="H409" s="28" t="n">
        <f aca="false">D409*03_Inputs_Assumptions!$B$13*01_Macro_Data!$B$97*($G$7-1)+D409*04_Baseline_PnL!$B$15*04_Baseline_PnL!$B$13*03_Inputs_Assumptions!$B$15*($H$7-1)</f>
        <v>93206.0686890256</v>
      </c>
      <c r="I409" s="16" t="n">
        <f aca="false">G409+H409</f>
        <v>126622.038013408</v>
      </c>
    </row>
    <row r="410" customFormat="false" ht="15" hidden="false" customHeight="true" outlineLevel="0" collapsed="false">
      <c r="A410" s="4" t="s">
        <v>303</v>
      </c>
      <c r="B410" s="4" t="n">
        <v>100</v>
      </c>
      <c r="C410" s="24" t="n">
        <f aca="true">RAND()</f>
        <v>0.419435183843003</v>
      </c>
      <c r="D410" s="25" t="n">
        <f aca="false">IF(C410&lt;(($C$7-$B$7)/($D$7-$B$7)),$B$7+SQRT(C410*($D$7-$B$7)*($C$7-$B$7)),$D$7-SQRT((1-C410)*($D$7-$B$7)*($D$7-$C$7)))</f>
        <v>16.6278661621881</v>
      </c>
      <c r="E410" s="26" t="n">
        <f aca="true">MAX(0,$E$7+$F$7*_xlfn.NORM.S.INV(RAND()))</f>
        <v>0.668980109185361</v>
      </c>
      <c r="F410" s="27" t="n">
        <f aca="false">1/(1+EXP(-03_Inputs_Assumptions!$B$14*(E410-03_Inputs_Assumptions!$B$5)))</f>
        <v>0.00616455940878069</v>
      </c>
      <c r="G410" s="28" t="n">
        <f aca="false">D410*04_Baseline_PnL!$B$15*F410*04_Baseline_PnL!$B$14</f>
        <v>29310.8250833619</v>
      </c>
      <c r="H410" s="28" t="n">
        <f aca="false">D410*03_Inputs_Assumptions!$B$13*01_Macro_Data!$B$97*($G$7-1)+D410*04_Baseline_PnL!$B$15*04_Baseline_PnL!$B$13*03_Inputs_Assumptions!$B$15*($H$7-1)</f>
        <v>169284.979824004</v>
      </c>
      <c r="I410" s="16" t="n">
        <f aca="false">G410+H410</f>
        <v>198595.804907366</v>
      </c>
    </row>
    <row r="411" customFormat="false" ht="15" hidden="false" customHeight="true" outlineLevel="0" collapsed="false">
      <c r="A411" s="4" t="s">
        <v>303</v>
      </c>
      <c r="B411" s="4" t="n">
        <v>101</v>
      </c>
      <c r="C411" s="24" t="n">
        <f aca="true">RAND()</f>
        <v>0.123272626097544</v>
      </c>
      <c r="D411" s="25" t="n">
        <f aca="false">IF(C411&lt;(($C$7-$B$7)/($D$7-$B$7)),$B$7+SQRT(C411*($D$7-$B$7)*($C$7-$B$7)),$D$7-SQRT((1-C411)*($D$7-$B$7)*($D$7-$C$7)))</f>
        <v>12.6578946094956</v>
      </c>
      <c r="E411" s="26" t="n">
        <f aca="true">MAX(0,$E$7+$F$7*_xlfn.NORM.S.INV(RAND()))</f>
        <v>1.09699612520989</v>
      </c>
      <c r="F411" s="27" t="n">
        <f aca="false">1/(1+EXP(-03_Inputs_Assumptions!$B$14*(E411-03_Inputs_Assumptions!$B$5)))</f>
        <v>0.00685600353144702</v>
      </c>
      <c r="G411" s="28" t="n">
        <f aca="false">D411*04_Baseline_PnL!$B$15*F411*04_Baseline_PnL!$B$14</f>
        <v>24815.4405268814</v>
      </c>
      <c r="H411" s="28" t="n">
        <f aca="false">D411*03_Inputs_Assumptions!$B$13*01_Macro_Data!$B$97*($G$7-1)+D411*04_Baseline_PnL!$B$15*04_Baseline_PnL!$B$13*03_Inputs_Assumptions!$B$15*($H$7-1)</f>
        <v>128867.493440353</v>
      </c>
      <c r="I411" s="16" t="n">
        <f aca="false">G411+H411</f>
        <v>153682.933967234</v>
      </c>
    </row>
    <row r="412" customFormat="false" ht="15" hidden="false" customHeight="true" outlineLevel="0" collapsed="false">
      <c r="A412" s="4" t="s">
        <v>303</v>
      </c>
      <c r="B412" s="4" t="n">
        <v>102</v>
      </c>
      <c r="C412" s="24" t="n">
        <f aca="true">RAND()</f>
        <v>0.463165134892821</v>
      </c>
      <c r="D412" s="25" t="n">
        <f aca="false">IF(C412&lt;(($C$7-$B$7)/($D$7-$B$7)),$B$7+SQRT(C412*($D$7-$B$7)*($C$7-$B$7)),$D$7-SQRT((1-C412)*($D$7-$B$7)*($D$7-$C$7)))</f>
        <v>17.1413399433296</v>
      </c>
      <c r="E412" s="26" t="n">
        <f aca="true">MAX(0,$E$7+$F$7*_xlfn.NORM.S.INV(RAND()))</f>
        <v>4.91502291381247</v>
      </c>
      <c r="F412" s="27" t="n">
        <f aca="false">1/(1+EXP(-03_Inputs_Assumptions!$B$14*(E412-03_Inputs_Assumptions!$B$5)))</f>
        <v>0.0176147958956608</v>
      </c>
      <c r="G412" s="28" t="n">
        <f aca="false">D412*04_Baseline_PnL!$B$15*F412*04_Baseline_PnL!$B$14</f>
        <v>86339.9642348192</v>
      </c>
      <c r="H412" s="28" t="n">
        <f aca="false">D412*03_Inputs_Assumptions!$B$13*01_Macro_Data!$B$97*($G$7-1)+D412*04_Baseline_PnL!$B$15*04_Baseline_PnL!$B$13*03_Inputs_Assumptions!$B$15*($H$7-1)</f>
        <v>174512.55369505</v>
      </c>
      <c r="I412" s="16" t="n">
        <f aca="false">G412+H412</f>
        <v>260852.517929869</v>
      </c>
    </row>
    <row r="413" customFormat="false" ht="15" hidden="false" customHeight="true" outlineLevel="0" collapsed="false">
      <c r="A413" s="4" t="s">
        <v>303</v>
      </c>
      <c r="B413" s="4" t="n">
        <v>103</v>
      </c>
      <c r="C413" s="24" t="n">
        <f aca="true">RAND()</f>
        <v>0.373974656848732</v>
      </c>
      <c r="D413" s="25" t="n">
        <f aca="false">IF(C413&lt;(($C$7-$B$7)/($D$7-$B$7)),$B$7+SQRT(C413*($D$7-$B$7)*($C$7-$B$7)),$D$7-SQRT((1-C413)*($D$7-$B$7)*($D$7-$C$7)))</f>
        <v>16.1141868912695</v>
      </c>
      <c r="E413" s="26" t="n">
        <f aca="true">MAX(0,$E$7+$F$7*_xlfn.NORM.S.INV(RAND()))</f>
        <v>1.31797668549094</v>
      </c>
      <c r="F413" s="27" t="n">
        <f aca="false">1/(1+EXP(-03_Inputs_Assumptions!$B$14*(E413-03_Inputs_Assumptions!$B$5)))</f>
        <v>0.00724260170726497</v>
      </c>
      <c r="G413" s="28" t="n">
        <f aca="false">D413*04_Baseline_PnL!$B$15*F413*04_Baseline_PnL!$B$14</f>
        <v>33372.787275356</v>
      </c>
      <c r="H413" s="28" t="n">
        <f aca="false">D413*03_Inputs_Assumptions!$B$13*01_Macro_Data!$B$97*($G$7-1)+D413*04_Baseline_PnL!$B$15*04_Baseline_PnL!$B$13*03_Inputs_Assumptions!$B$15*($H$7-1)</f>
        <v>164055.313902637</v>
      </c>
      <c r="I413" s="16" t="n">
        <f aca="false">G413+H413</f>
        <v>197428.101177993</v>
      </c>
    </row>
    <row r="414" customFormat="false" ht="15" hidden="false" customHeight="true" outlineLevel="0" collapsed="false">
      <c r="A414" s="4" t="s">
        <v>303</v>
      </c>
      <c r="B414" s="4" t="n">
        <v>104</v>
      </c>
      <c r="C414" s="24" t="n">
        <f aca="true">RAND()</f>
        <v>0.749164272500049</v>
      </c>
      <c r="D414" s="25" t="n">
        <f aca="false">IF(C414&lt;(($C$7-$B$7)/($D$7-$B$7)),$B$7+SQRT(C414*($D$7-$B$7)*($C$7-$B$7)),$D$7-SQRT((1-C414)*($D$7-$B$7)*($D$7-$C$7)))</f>
        <v>21.2103808916436</v>
      </c>
      <c r="E414" s="26" t="n">
        <f aca="true">MAX(0,$E$7+$F$7*_xlfn.NORM.S.INV(RAND()))</f>
        <v>0</v>
      </c>
      <c r="F414" s="27" t="n">
        <f aca="false">1/(1+EXP(-03_Inputs_Assumptions!$B$14*(E414-03_Inputs_Assumptions!$B$5)))</f>
        <v>0.0052201256935584</v>
      </c>
      <c r="G414" s="28" t="n">
        <f aca="false">D414*04_Baseline_PnL!$B$15*F414*04_Baseline_PnL!$B$14</f>
        <v>31660.5831044194</v>
      </c>
      <c r="H414" s="28" t="n">
        <f aca="false">D414*03_Inputs_Assumptions!$B$13*01_Macro_Data!$B$97*($G$7-1)+D414*04_Baseline_PnL!$B$15*04_Baseline_PnL!$B$13*03_Inputs_Assumptions!$B$15*($H$7-1)</f>
        <v>215938.645781645</v>
      </c>
      <c r="I414" s="16" t="n">
        <f aca="false">G414+H414</f>
        <v>247599.228886064</v>
      </c>
    </row>
    <row r="415" customFormat="false" ht="15" hidden="false" customHeight="true" outlineLevel="0" collapsed="false">
      <c r="A415" s="4" t="s">
        <v>303</v>
      </c>
      <c r="B415" s="4" t="n">
        <v>105</v>
      </c>
      <c r="C415" s="24" t="n">
        <f aca="true">RAND()</f>
        <v>0.557205323822943</v>
      </c>
      <c r="D415" s="25" t="n">
        <f aca="false">IF(C415&lt;(($C$7-$B$7)/($D$7-$B$7)),$B$7+SQRT(C415*($D$7-$B$7)*($C$7-$B$7)),$D$7-SQRT((1-C415)*($D$7-$B$7)*($D$7-$C$7)))</f>
        <v>18.3217826590471</v>
      </c>
      <c r="E415" s="26" t="n">
        <f aca="true">MAX(0,$E$7+$F$7*_xlfn.NORM.S.INV(RAND()))</f>
        <v>2.16482480814074</v>
      </c>
      <c r="F415" s="27" t="n">
        <f aca="false">1/(1+EXP(-03_Inputs_Assumptions!$B$14*(E415-03_Inputs_Assumptions!$B$5)))</f>
        <v>0.00893509010987024</v>
      </c>
      <c r="G415" s="28" t="n">
        <f aca="false">D415*04_Baseline_PnL!$B$15*F415*04_Baseline_PnL!$B$14</f>
        <v>46811.8866749953</v>
      </c>
      <c r="H415" s="28" t="n">
        <f aca="false">D415*03_Inputs_Assumptions!$B$13*01_Macro_Data!$B$97*($G$7-1)+D415*04_Baseline_PnL!$B$15*04_Baseline_PnL!$B$13*03_Inputs_Assumptions!$B$15*($H$7-1)</f>
        <v>186530.404895227</v>
      </c>
      <c r="I415" s="16" t="n">
        <f aca="false">G415+H415</f>
        <v>233342.291570222</v>
      </c>
    </row>
    <row r="416" customFormat="false" ht="15" hidden="false" customHeight="true" outlineLevel="0" collapsed="false">
      <c r="A416" s="4" t="s">
        <v>303</v>
      </c>
      <c r="B416" s="4" t="n">
        <v>106</v>
      </c>
      <c r="C416" s="24" t="n">
        <f aca="true">RAND()</f>
        <v>0.907079299112384</v>
      </c>
      <c r="D416" s="25" t="n">
        <f aca="false">IF(C416&lt;(($C$7-$B$7)/($D$7-$B$7)),$B$7+SQRT(C416*($D$7-$B$7)*($C$7-$B$7)),$D$7-SQRT((1-C416)*($D$7-$B$7)*($D$7-$C$7)))</f>
        <v>24.6502732898413</v>
      </c>
      <c r="E416" s="26" t="n">
        <f aca="true">MAX(0,$E$7+$F$7*_xlfn.NORM.S.INV(RAND()))</f>
        <v>5.47930158170825</v>
      </c>
      <c r="F416" s="27" t="n">
        <f aca="false">1/(1+EXP(-03_Inputs_Assumptions!$B$14*(E416-03_Inputs_Assumptions!$B$5)))</f>
        <v>0.0202295360905062</v>
      </c>
      <c r="G416" s="28" t="n">
        <f aca="false">D416*04_Baseline_PnL!$B$15*F416*04_Baseline_PnL!$B$14</f>
        <v>142592.651018284</v>
      </c>
      <c r="H416" s="28" t="n">
        <f aca="false">D416*03_Inputs_Assumptions!$B$13*01_Macro_Data!$B$97*($G$7-1)+D416*04_Baseline_PnL!$B$15*04_Baseline_PnL!$B$13*03_Inputs_Assumptions!$B$15*($H$7-1)</f>
        <v>250959.502309216</v>
      </c>
      <c r="I416" s="16" t="n">
        <f aca="false">G416+H416</f>
        <v>393552.1533275</v>
      </c>
    </row>
    <row r="417" customFormat="false" ht="15" hidden="false" customHeight="true" outlineLevel="0" collapsed="false">
      <c r="A417" s="4" t="s">
        <v>303</v>
      </c>
      <c r="B417" s="4" t="n">
        <v>107</v>
      </c>
      <c r="C417" s="24" t="n">
        <f aca="true">RAND()</f>
        <v>0.755398066013404</v>
      </c>
      <c r="D417" s="25" t="n">
        <f aca="false">IF(C417&lt;(($C$7-$B$7)/($D$7-$B$7)),$B$7+SQRT(C417*($D$7-$B$7)*($C$7-$B$7)),$D$7-SQRT((1-C417)*($D$7-$B$7)*($D$7-$C$7)))</f>
        <v>21.3202882727667</v>
      </c>
      <c r="E417" s="26" t="n">
        <f aca="true">MAX(0,$E$7+$F$7*_xlfn.NORM.S.INV(RAND()))</f>
        <v>3.94852473239396</v>
      </c>
      <c r="F417" s="27" t="n">
        <f aca="false">1/(1+EXP(-03_Inputs_Assumptions!$B$14*(E417-03_Inputs_Assumptions!$B$5)))</f>
        <v>0.0138863014085531</v>
      </c>
      <c r="G417" s="28" t="n">
        <f aca="false">D417*04_Baseline_PnL!$B$15*F417*04_Baseline_PnL!$B$14</f>
        <v>84658.2216506236</v>
      </c>
      <c r="H417" s="28" t="n">
        <f aca="false">D417*03_Inputs_Assumptions!$B$13*01_Macro_Data!$B$97*($G$7-1)+D417*04_Baseline_PnL!$B$15*04_Baseline_PnL!$B$13*03_Inputs_Assumptions!$B$15*($H$7-1)</f>
        <v>217057.590847383</v>
      </c>
      <c r="I417" s="16" t="n">
        <f aca="false">G417+H417</f>
        <v>301715.812498007</v>
      </c>
    </row>
    <row r="418" customFormat="false" ht="15" hidden="false" customHeight="true" outlineLevel="0" collapsed="false">
      <c r="A418" s="4" t="s">
        <v>303</v>
      </c>
      <c r="B418" s="4" t="n">
        <v>108</v>
      </c>
      <c r="C418" s="24" t="n">
        <f aca="true">RAND()</f>
        <v>0.670639294225767</v>
      </c>
      <c r="D418" s="25" t="n">
        <f aca="false">IF(C418&lt;(($C$7-$B$7)/($D$7-$B$7)),$B$7+SQRT(C418*($D$7-$B$7)*($C$7-$B$7)),$D$7-SQRT((1-C418)*($D$7-$B$7)*($D$7-$C$7)))</f>
        <v>19.9281035857956</v>
      </c>
      <c r="E418" s="26" t="n">
        <f aca="true">MAX(0,$E$7+$F$7*_xlfn.NORM.S.INV(RAND()))</f>
        <v>2.05750034497483</v>
      </c>
      <c r="F418" s="27" t="n">
        <f aca="false">1/(1+EXP(-03_Inputs_Assumptions!$B$14*(E418-03_Inputs_Assumptions!$B$5)))</f>
        <v>0.00870059745752485</v>
      </c>
      <c r="G418" s="28" t="n">
        <f aca="false">D418*04_Baseline_PnL!$B$15*F418*04_Baseline_PnL!$B$14</f>
        <v>49579.7724553839</v>
      </c>
      <c r="H418" s="28" t="n">
        <f aca="false">D418*03_Inputs_Assumptions!$B$13*01_Macro_Data!$B$97*($G$7-1)+D418*04_Baseline_PnL!$B$15*04_Baseline_PnL!$B$13*03_Inputs_Assumptions!$B$15*($H$7-1)</f>
        <v>202884.036986268</v>
      </c>
      <c r="I418" s="16" t="n">
        <f aca="false">G418+H418</f>
        <v>252463.809441652</v>
      </c>
    </row>
    <row r="419" customFormat="false" ht="15" hidden="false" customHeight="true" outlineLevel="0" collapsed="false">
      <c r="A419" s="4" t="s">
        <v>303</v>
      </c>
      <c r="B419" s="4" t="n">
        <v>109</v>
      </c>
      <c r="C419" s="24" t="n">
        <f aca="true">RAND()</f>
        <v>0.729523114792132</v>
      </c>
      <c r="D419" s="25" t="n">
        <f aca="false">IF(C419&lt;(($C$7-$B$7)/($D$7-$B$7)),$B$7+SQRT(C419*($D$7-$B$7)*($C$7-$B$7)),$D$7-SQRT((1-C419)*($D$7-$B$7)*($D$7-$C$7)))</f>
        <v>20.8727396967095</v>
      </c>
      <c r="E419" s="26" t="n">
        <f aca="true">MAX(0,$E$7+$F$7*_xlfn.NORM.S.INV(RAND()))</f>
        <v>3.54335327951046</v>
      </c>
      <c r="F419" s="27" t="n">
        <f aca="false">1/(1+EXP(-03_Inputs_Assumptions!$B$14*(E419-03_Inputs_Assumptions!$B$5)))</f>
        <v>0.0125654196245031</v>
      </c>
      <c r="G419" s="28" t="n">
        <f aca="false">D419*04_Baseline_PnL!$B$15*F419*04_Baseline_PnL!$B$14</f>
        <v>74997.3528989253</v>
      </c>
      <c r="H419" s="28" t="n">
        <f aca="false">D419*03_Inputs_Assumptions!$B$13*01_Macro_Data!$B$97*($G$7-1)+D419*04_Baseline_PnL!$B$15*04_Baseline_PnL!$B$13*03_Inputs_Assumptions!$B$15*($H$7-1)</f>
        <v>212501.18830426</v>
      </c>
      <c r="I419" s="16" t="n">
        <f aca="false">G419+H419</f>
        <v>287498.541203185</v>
      </c>
    </row>
    <row r="420" customFormat="false" ht="15" hidden="false" customHeight="true" outlineLevel="0" collapsed="false">
      <c r="A420" s="4" t="s">
        <v>303</v>
      </c>
      <c r="B420" s="4" t="n">
        <v>110</v>
      </c>
      <c r="C420" s="24" t="n">
        <f aca="true">RAND()</f>
        <v>0.262846650277371</v>
      </c>
      <c r="D420" s="25" t="n">
        <f aca="false">IF(C420&lt;(($C$7-$B$7)/($D$7-$B$7)),$B$7+SQRT(C420*($D$7-$B$7)*($C$7-$B$7)),$D$7-SQRT((1-C420)*($D$7-$B$7)*($D$7-$C$7)))</f>
        <v>14.8015447104917</v>
      </c>
      <c r="E420" s="26" t="n">
        <f aca="true">MAX(0,$E$7+$F$7*_xlfn.NORM.S.INV(RAND()))</f>
        <v>4.4159972102342</v>
      </c>
      <c r="F420" s="27" t="n">
        <f aca="false">1/(1+EXP(-03_Inputs_Assumptions!$B$14*(E420-03_Inputs_Assumptions!$B$5)))</f>
        <v>0.0155809800411543</v>
      </c>
      <c r="G420" s="28" t="n">
        <f aca="false">D420*04_Baseline_PnL!$B$15*F420*04_Baseline_PnL!$B$14</f>
        <v>65946.4305775428</v>
      </c>
      <c r="H420" s="28" t="n">
        <f aca="false">D420*03_Inputs_Assumptions!$B$13*01_Macro_Data!$B$97*($G$7-1)+D420*04_Baseline_PnL!$B$15*04_Baseline_PnL!$B$13*03_Inputs_Assumptions!$B$15*($H$7-1)</f>
        <v>150691.566388574</v>
      </c>
      <c r="I420" s="16" t="n">
        <f aca="false">G420+H420</f>
        <v>216637.996966117</v>
      </c>
    </row>
    <row r="421" customFormat="false" ht="15" hidden="false" customHeight="true" outlineLevel="0" collapsed="false">
      <c r="A421" s="4" t="s">
        <v>303</v>
      </c>
      <c r="B421" s="4" t="n">
        <v>111</v>
      </c>
      <c r="C421" s="24" t="n">
        <f aca="true">RAND()</f>
        <v>0.42974950549091</v>
      </c>
      <c r="D421" s="25" t="n">
        <f aca="false">IF(C421&lt;(($C$7-$B$7)/($D$7-$B$7)),$B$7+SQRT(C421*($D$7-$B$7)*($C$7-$B$7)),$D$7-SQRT((1-C421)*($D$7-$B$7)*($D$7-$C$7)))</f>
        <v>16.7471832311467</v>
      </c>
      <c r="E421" s="26" t="n">
        <f aca="true">MAX(0,$E$7+$F$7*_xlfn.NORM.S.INV(RAND()))</f>
        <v>4.02822645235684</v>
      </c>
      <c r="F421" s="27" t="n">
        <f aca="false">1/(1+EXP(-03_Inputs_Assumptions!$B$14*(E421-03_Inputs_Assumptions!$B$5)))</f>
        <v>0.0141618091869558</v>
      </c>
      <c r="G421" s="28" t="n">
        <f aca="false">D421*04_Baseline_PnL!$B$15*F421*04_Baseline_PnL!$B$14</f>
        <v>67818.782933172</v>
      </c>
      <c r="H421" s="28" t="n">
        <f aca="false">D421*03_Inputs_Assumptions!$B$13*01_Macro_Data!$B$97*($G$7-1)+D421*04_Baseline_PnL!$B$15*04_Baseline_PnL!$B$13*03_Inputs_Assumptions!$B$15*($H$7-1)</f>
        <v>170499.723039658</v>
      </c>
      <c r="I421" s="16" t="n">
        <f aca="false">G421+H421</f>
        <v>238318.50597283</v>
      </c>
    </row>
    <row r="422" customFormat="false" ht="15" hidden="false" customHeight="true" outlineLevel="0" collapsed="false">
      <c r="A422" s="4" t="s">
        <v>303</v>
      </c>
      <c r="B422" s="4" t="n">
        <v>112</v>
      </c>
      <c r="C422" s="24" t="n">
        <f aca="true">RAND()</f>
        <v>0.957893258101486</v>
      </c>
      <c r="D422" s="25" t="n">
        <f aca="false">IF(C422&lt;(($C$7-$B$7)/($D$7-$B$7)),$B$7+SQRT(C422*($D$7-$B$7)*($C$7-$B$7)),$D$7-SQRT((1-C422)*($D$7-$B$7)*($D$7-$C$7)))</f>
        <v>26.398767363146</v>
      </c>
      <c r="E422" s="26" t="n">
        <f aca="true">MAX(0,$E$7+$F$7*_xlfn.NORM.S.INV(RAND()))</f>
        <v>1.3352422063957</v>
      </c>
      <c r="F422" s="27" t="n">
        <f aca="false">1/(1+EXP(-03_Inputs_Assumptions!$B$14*(E422-03_Inputs_Assumptions!$B$5)))</f>
        <v>0.00727370321551897</v>
      </c>
      <c r="G422" s="28" t="n">
        <f aca="false">D422*04_Baseline_PnL!$B$15*F422*04_Baseline_PnL!$B$14</f>
        <v>54907.1253506309</v>
      </c>
      <c r="H422" s="28" t="n">
        <f aca="false">D422*03_Inputs_Assumptions!$B$13*01_Macro_Data!$B$97*($G$7-1)+D422*04_Baseline_PnL!$B$15*04_Baseline_PnL!$B$13*03_Inputs_Assumptions!$B$15*($H$7-1)</f>
        <v>268760.570770717</v>
      </c>
      <c r="I422" s="16" t="n">
        <f aca="false">G422+H422</f>
        <v>323667.696121348</v>
      </c>
    </row>
    <row r="423" customFormat="false" ht="15" hidden="false" customHeight="true" outlineLevel="0" collapsed="false">
      <c r="A423" s="4" t="s">
        <v>303</v>
      </c>
      <c r="B423" s="4" t="n">
        <v>113</v>
      </c>
      <c r="C423" s="24" t="n">
        <f aca="true">RAND()</f>
        <v>0.464660625212346</v>
      </c>
      <c r="D423" s="25" t="n">
        <f aca="false">IF(C423&lt;(($C$7-$B$7)/($D$7-$B$7)),$B$7+SQRT(C423*($D$7-$B$7)*($C$7-$B$7)),$D$7-SQRT((1-C423)*($D$7-$B$7)*($D$7-$C$7)))</f>
        <v>17.1592629715192</v>
      </c>
      <c r="E423" s="26" t="n">
        <f aca="true">MAX(0,$E$7+$F$7*_xlfn.NORM.S.INV(RAND()))</f>
        <v>2.57690313070317</v>
      </c>
      <c r="F423" s="27" t="n">
        <f aca="false">1/(1+EXP(-03_Inputs_Assumptions!$B$14*(E423-03_Inputs_Assumptions!$B$5)))</f>
        <v>0.00989507055625755</v>
      </c>
      <c r="G423" s="28" t="n">
        <f aca="false">D423*04_Baseline_PnL!$B$15*F423*04_Baseline_PnL!$B$14</f>
        <v>48551.9868120076</v>
      </c>
      <c r="H423" s="28" t="n">
        <f aca="false">D423*03_Inputs_Assumptions!$B$13*01_Macro_Data!$B$97*($G$7-1)+D423*04_Baseline_PnL!$B$15*04_Baseline_PnL!$B$13*03_Inputs_Assumptions!$B$15*($H$7-1)</f>
        <v>174695.024460443</v>
      </c>
      <c r="I423" s="16" t="n">
        <f aca="false">G423+H423</f>
        <v>223247.011272451</v>
      </c>
    </row>
    <row r="424" customFormat="false" ht="15" hidden="false" customHeight="true" outlineLevel="0" collapsed="false">
      <c r="A424" s="4" t="s">
        <v>303</v>
      </c>
      <c r="B424" s="4" t="n">
        <v>114</v>
      </c>
      <c r="C424" s="24" t="n">
        <f aca="true">RAND()</f>
        <v>0.686486326137258</v>
      </c>
      <c r="D424" s="25" t="n">
        <f aca="false">IF(C424&lt;(($C$7-$B$7)/($D$7-$B$7)),$B$7+SQRT(C424*($D$7-$B$7)*($C$7-$B$7)),$D$7-SQRT((1-C424)*($D$7-$B$7)*($D$7-$C$7)))</f>
        <v>20.1733926734745</v>
      </c>
      <c r="E424" s="26" t="n">
        <f aca="true">MAX(0,$E$7+$F$7*_xlfn.NORM.S.INV(RAND()))</f>
        <v>2.84656815566036</v>
      </c>
      <c r="F424" s="27" t="n">
        <f aca="false">1/(1+EXP(-03_Inputs_Assumptions!$B$14*(E424-03_Inputs_Assumptions!$B$5)))</f>
        <v>0.010577859760502</v>
      </c>
      <c r="G424" s="28" t="n">
        <f aca="false">D424*04_Baseline_PnL!$B$15*F424*04_Baseline_PnL!$B$14</f>
        <v>61019.160492272</v>
      </c>
      <c r="H424" s="28" t="n">
        <f aca="false">D424*03_Inputs_Assumptions!$B$13*01_Macro_Data!$B$97*($G$7-1)+D424*04_Baseline_PnL!$B$15*04_Baseline_PnL!$B$13*03_Inputs_Assumptions!$B$15*($H$7-1)</f>
        <v>205381.276130109</v>
      </c>
      <c r="I424" s="16" t="n">
        <f aca="false">G424+H424</f>
        <v>266400.436622381</v>
      </c>
    </row>
    <row r="425" customFormat="false" ht="15" hidden="false" customHeight="true" outlineLevel="0" collapsed="false">
      <c r="A425" s="4" t="s">
        <v>303</v>
      </c>
      <c r="B425" s="4" t="n">
        <v>115</v>
      </c>
      <c r="C425" s="24" t="n">
        <f aca="true">RAND()</f>
        <v>0.981474841125584</v>
      </c>
      <c r="D425" s="25" t="n">
        <f aca="false">IF(C425&lt;(($C$7-$B$7)/($D$7-$B$7)),$B$7+SQRT(C425*($D$7-$B$7)*($C$7-$B$7)),$D$7-SQRT((1-C425)*($D$7-$B$7)*($D$7-$C$7)))</f>
        <v>27.6113290445689</v>
      </c>
      <c r="E425" s="26" t="n">
        <f aca="true">MAX(0,$E$7+$F$7*_xlfn.NORM.S.INV(RAND()))</f>
        <v>1.83593897572653</v>
      </c>
      <c r="F425" s="27" t="n">
        <f aca="false">1/(1+EXP(-03_Inputs_Assumptions!$B$14*(E425-03_Inputs_Assumptions!$B$5)))</f>
        <v>0.00823563350663631</v>
      </c>
      <c r="G425" s="28" t="n">
        <f aca="false">D425*04_Baseline_PnL!$B$15*F425*04_Baseline_PnL!$B$14</f>
        <v>65024.0183668246</v>
      </c>
      <c r="H425" s="28" t="n">
        <f aca="false">D425*03_Inputs_Assumptions!$B$13*01_Macro_Data!$B$97*($G$7-1)+D425*04_Baseline_PnL!$B$15*04_Baseline_PnL!$B$13*03_Inputs_Assumptions!$B$15*($H$7-1)</f>
        <v>281105.418736947</v>
      </c>
      <c r="I425" s="16" t="n">
        <f aca="false">G425+H425</f>
        <v>346129.437103772</v>
      </c>
    </row>
    <row r="426" customFormat="false" ht="15" hidden="false" customHeight="true" outlineLevel="0" collapsed="false">
      <c r="A426" s="4" t="s">
        <v>303</v>
      </c>
      <c r="B426" s="4" t="n">
        <v>116</v>
      </c>
      <c r="C426" s="24" t="n">
        <f aca="true">RAND()</f>
        <v>0.945492707133746</v>
      </c>
      <c r="D426" s="25" t="n">
        <f aca="false">IF(C426&lt;(($C$7-$B$7)/($D$7-$B$7)),$B$7+SQRT(C426*($D$7-$B$7)*($C$7-$B$7)),$D$7-SQRT((1-C426)*($D$7-$B$7)*($D$7-$C$7)))</f>
        <v>25.9026537609318</v>
      </c>
      <c r="E426" s="26" t="n">
        <f aca="true">MAX(0,$E$7+$F$7*_xlfn.NORM.S.INV(RAND()))</f>
        <v>2.44954971360177</v>
      </c>
      <c r="F426" s="27" t="n">
        <f aca="false">1/(1+EXP(-03_Inputs_Assumptions!$B$14*(E426-03_Inputs_Assumptions!$B$5)))</f>
        <v>0.00958796325029565</v>
      </c>
      <c r="G426" s="28" t="n">
        <f aca="false">D426*04_Baseline_PnL!$B$15*F426*04_Baseline_PnL!$B$14</f>
        <v>71016.637002507</v>
      </c>
      <c r="H426" s="28" t="n">
        <f aca="false">D426*03_Inputs_Assumptions!$B$13*01_Macro_Data!$B$97*($G$7-1)+D426*04_Baseline_PnL!$B$15*04_Baseline_PnL!$B$13*03_Inputs_Assumptions!$B$15*($H$7-1)</f>
        <v>263709.737409295</v>
      </c>
      <c r="I426" s="16" t="n">
        <f aca="false">G426+H426</f>
        <v>334726.374411802</v>
      </c>
    </row>
    <row r="427" customFormat="false" ht="15" hidden="false" customHeight="true" outlineLevel="0" collapsed="false">
      <c r="A427" s="4" t="s">
        <v>303</v>
      </c>
      <c r="B427" s="4" t="n">
        <v>117</v>
      </c>
      <c r="C427" s="24" t="n">
        <f aca="true">RAND()</f>
        <v>0.448288372629531</v>
      </c>
      <c r="D427" s="25" t="n">
        <f aca="false">IF(C427&lt;(($C$7-$B$7)/($D$7-$B$7)),$B$7+SQRT(C427*($D$7-$B$7)*($C$7-$B$7)),$D$7-SQRT((1-C427)*($D$7-$B$7)*($D$7-$C$7)))</f>
        <v>16.9643879610467</v>
      </c>
      <c r="E427" s="26" t="n">
        <f aca="true">MAX(0,$E$7+$F$7*_xlfn.NORM.S.INV(RAND()))</f>
        <v>0</v>
      </c>
      <c r="F427" s="27" t="n">
        <f aca="false">1/(1+EXP(-03_Inputs_Assumptions!$B$14*(E427-03_Inputs_Assumptions!$B$5)))</f>
        <v>0.0052201256935584</v>
      </c>
      <c r="G427" s="28" t="n">
        <f aca="false">D427*04_Baseline_PnL!$B$15*F427*04_Baseline_PnL!$B$14</f>
        <v>25322.619975577</v>
      </c>
      <c r="H427" s="28" t="n">
        <f aca="false">D427*03_Inputs_Assumptions!$B$13*01_Macro_Data!$B$97*($G$7-1)+D427*04_Baseline_PnL!$B$15*04_Baseline_PnL!$B$13*03_Inputs_Assumptions!$B$15*($H$7-1)</f>
        <v>172711.040953824</v>
      </c>
      <c r="I427" s="16" t="n">
        <f aca="false">G427+H427</f>
        <v>198033.660929401</v>
      </c>
    </row>
    <row r="428" customFormat="false" ht="15" hidden="false" customHeight="true" outlineLevel="0" collapsed="false">
      <c r="A428" s="4" t="s">
        <v>303</v>
      </c>
      <c r="B428" s="4" t="n">
        <v>118</v>
      </c>
      <c r="C428" s="24" t="n">
        <f aca="true">RAND()</f>
        <v>0.800869226393064</v>
      </c>
      <c r="D428" s="25" t="n">
        <f aca="false">IF(C428&lt;(($C$7-$B$7)/($D$7-$B$7)),$B$7+SQRT(C428*($D$7-$B$7)*($C$7-$B$7)),$D$7-SQRT((1-C428)*($D$7-$B$7)*($D$7-$C$7)))</f>
        <v>22.1685072769659</v>
      </c>
      <c r="E428" s="26" t="n">
        <f aca="true">MAX(0,$E$7+$F$7*_xlfn.NORM.S.INV(RAND()))</f>
        <v>2.63255130586038</v>
      </c>
      <c r="F428" s="27" t="n">
        <f aca="false">1/(1+EXP(-03_Inputs_Assumptions!$B$14*(E428-03_Inputs_Assumptions!$B$5)))</f>
        <v>0.0100323025330604</v>
      </c>
      <c r="G428" s="28" t="n">
        <f aca="false">D428*04_Baseline_PnL!$B$15*F428*04_Baseline_PnL!$B$14</f>
        <v>63595.5243147512</v>
      </c>
      <c r="H428" s="28" t="n">
        <f aca="false">D428*03_Inputs_Assumptions!$B$13*01_Macro_Data!$B$97*($G$7-1)+D428*04_Baseline_PnL!$B$15*04_Baseline_PnL!$B$13*03_Inputs_Assumptions!$B$15*($H$7-1)</f>
        <v>225693.138885335</v>
      </c>
      <c r="I428" s="16" t="n">
        <f aca="false">G428+H428</f>
        <v>289288.663200086</v>
      </c>
    </row>
    <row r="429" customFormat="false" ht="15" hidden="false" customHeight="true" outlineLevel="0" collapsed="false">
      <c r="A429" s="4" t="s">
        <v>303</v>
      </c>
      <c r="B429" s="4" t="n">
        <v>119</v>
      </c>
      <c r="C429" s="24" t="n">
        <f aca="true">RAND()</f>
        <v>0.396789436369163</v>
      </c>
      <c r="D429" s="25" t="n">
        <f aca="false">IF(C429&lt;(($C$7-$B$7)/($D$7-$B$7)),$B$7+SQRT(C429*($D$7-$B$7)*($C$7-$B$7)),$D$7-SQRT((1-C429)*($D$7-$B$7)*($D$7-$C$7)))</f>
        <v>16.3695615038144</v>
      </c>
      <c r="E429" s="26" t="n">
        <f aca="true">MAX(0,$E$7+$F$7*_xlfn.NORM.S.INV(RAND()))</f>
        <v>3.97361789667892</v>
      </c>
      <c r="F429" s="27" t="n">
        <f aca="false">1/(1+EXP(-03_Inputs_Assumptions!$B$14*(E429-03_Inputs_Assumptions!$B$5)))</f>
        <v>0.013972467026738</v>
      </c>
      <c r="G429" s="28" t="n">
        <f aca="false">D429*04_Baseline_PnL!$B$15*F429*04_Baseline_PnL!$B$14</f>
        <v>65403.2938167352</v>
      </c>
      <c r="H429" s="28" t="n">
        <f aca="false">D429*03_Inputs_Assumptions!$B$13*01_Macro_Data!$B$97*($G$7-1)+D429*04_Baseline_PnL!$B$15*04_Baseline_PnL!$B$13*03_Inputs_Assumptions!$B$15*($H$7-1)</f>
        <v>166655.231758034</v>
      </c>
      <c r="I429" s="16" t="n">
        <f aca="false">G429+H429</f>
        <v>232058.525574769</v>
      </c>
    </row>
    <row r="430" customFormat="false" ht="15" hidden="false" customHeight="true" outlineLevel="0" collapsed="false">
      <c r="A430" s="4" t="s">
        <v>303</v>
      </c>
      <c r="B430" s="4" t="n">
        <v>120</v>
      </c>
      <c r="C430" s="24" t="n">
        <f aca="true">RAND()</f>
        <v>0.126755283459479</v>
      </c>
      <c r="D430" s="25" t="n">
        <f aca="false">IF(C430&lt;(($C$7-$B$7)/($D$7-$B$7)),$B$7+SQRT(C430*($D$7-$B$7)*($C$7-$B$7)),$D$7-SQRT((1-C430)*($D$7-$B$7)*($D$7-$C$7)))</f>
        <v>12.7232329911691</v>
      </c>
      <c r="E430" s="26" t="n">
        <f aca="true">MAX(0,$E$7+$F$7*_xlfn.NORM.S.INV(RAND()))</f>
        <v>1.96922954701467</v>
      </c>
      <c r="F430" s="27" t="n">
        <f aca="false">1/(1+EXP(-03_Inputs_Assumptions!$B$14*(E430-03_Inputs_Assumptions!$B$5)))</f>
        <v>0.00851231479379735</v>
      </c>
      <c r="G430" s="28" t="n">
        <f aca="false">D430*04_Baseline_PnL!$B$15*F430*04_Baseline_PnL!$B$14</f>
        <v>30969.5316286415</v>
      </c>
      <c r="H430" s="28" t="n">
        <f aca="false">D430*03_Inputs_Assumptions!$B$13*01_Macro_Data!$B$97*($G$7-1)+D430*04_Baseline_PnL!$B$15*04_Baseline_PnL!$B$13*03_Inputs_Assumptions!$B$15*($H$7-1)</f>
        <v>129532.690436495</v>
      </c>
      <c r="I430" s="16" t="n">
        <f aca="false">G430+H430</f>
        <v>160502.222065136</v>
      </c>
    </row>
    <row r="431" customFormat="false" ht="15" hidden="false" customHeight="true" outlineLevel="0" collapsed="false">
      <c r="A431" s="4" t="s">
        <v>303</v>
      </c>
      <c r="B431" s="4" t="n">
        <v>121</v>
      </c>
      <c r="C431" s="24" t="n">
        <f aca="true">RAND()</f>
        <v>0.330705300927675</v>
      </c>
      <c r="D431" s="25" t="n">
        <f aca="false">IF(C431&lt;(($C$7-$B$7)/($D$7-$B$7)),$B$7+SQRT(C431*($D$7-$B$7)*($C$7-$B$7)),$D$7-SQRT((1-C431)*($D$7-$B$7)*($D$7-$C$7)))</f>
        <v>15.6291633200025</v>
      </c>
      <c r="E431" s="26" t="n">
        <f aca="true">MAX(0,$E$7+$F$7*_xlfn.NORM.S.INV(RAND()))</f>
        <v>2.4517893900114</v>
      </c>
      <c r="F431" s="27" t="n">
        <f aca="false">1/(1+EXP(-03_Inputs_Assumptions!$B$14*(E431-03_Inputs_Assumptions!$B$5)))</f>
        <v>0.00959328172151325</v>
      </c>
      <c r="G431" s="28" t="n">
        <f aca="false">D431*04_Baseline_PnL!$B$15*F431*04_Baseline_PnL!$B$14</f>
        <v>42873.8425859698</v>
      </c>
      <c r="H431" s="28" t="n">
        <f aca="false">D431*03_Inputs_Assumptions!$B$13*01_Macro_Data!$B$97*($G$7-1)+D431*04_Baseline_PnL!$B$15*04_Baseline_PnL!$B$13*03_Inputs_Assumptions!$B$15*($H$7-1)</f>
        <v>159117.385928281</v>
      </c>
      <c r="I431" s="16" t="n">
        <f aca="false">G431+H431</f>
        <v>201991.228514251</v>
      </c>
    </row>
    <row r="432" customFormat="false" ht="15" hidden="false" customHeight="true" outlineLevel="0" collapsed="false">
      <c r="A432" s="4" t="s">
        <v>303</v>
      </c>
      <c r="B432" s="4" t="n">
        <v>122</v>
      </c>
      <c r="C432" s="24" t="n">
        <f aca="true">RAND()</f>
        <v>0.0519517942695423</v>
      </c>
      <c r="D432" s="25" t="n">
        <f aca="false">IF(C432&lt;(($C$7-$B$7)/($D$7-$B$7)),$B$7+SQRT(C432*($D$7-$B$7)*($C$7-$B$7)),$D$7-SQRT((1-C432)*($D$7-$B$7)*($D$7-$C$7)))</f>
        <v>11.0238246958842</v>
      </c>
      <c r="E432" s="26" t="n">
        <f aca="true">MAX(0,$E$7+$F$7*_xlfn.NORM.S.INV(RAND()))</f>
        <v>2.68863797047816</v>
      </c>
      <c r="F432" s="27" t="n">
        <f aca="false">1/(1+EXP(-03_Inputs_Assumptions!$B$14*(E432-03_Inputs_Assumptions!$B$5)))</f>
        <v>0.0101725219227801</v>
      </c>
      <c r="G432" s="28" t="n">
        <f aca="false">D432*04_Baseline_PnL!$B$15*F432*04_Baseline_PnL!$B$14</f>
        <v>32066.4153841222</v>
      </c>
      <c r="H432" s="28" t="n">
        <f aca="false">D432*03_Inputs_Assumptions!$B$13*01_Macro_Data!$B$97*($G$7-1)+D432*04_Baseline_PnL!$B$15*04_Baseline_PnL!$B$13*03_Inputs_Assumptions!$B$15*($H$7-1)</f>
        <v>112231.354463858</v>
      </c>
      <c r="I432" s="16" t="n">
        <f aca="false">G432+H432</f>
        <v>144297.769847981</v>
      </c>
    </row>
    <row r="433" customFormat="false" ht="15" hidden="false" customHeight="true" outlineLevel="0" collapsed="false">
      <c r="A433" s="4" t="s">
        <v>303</v>
      </c>
      <c r="B433" s="4" t="n">
        <v>123</v>
      </c>
      <c r="C433" s="24" t="n">
        <f aca="true">RAND()</f>
        <v>0.39240787424797</v>
      </c>
      <c r="D433" s="25" t="n">
        <f aca="false">IF(C433&lt;(($C$7-$B$7)/($D$7-$B$7)),$B$7+SQRT(C433*($D$7-$B$7)*($C$7-$B$7)),$D$7-SQRT((1-C433)*($D$7-$B$7)*($D$7-$C$7)))</f>
        <v>16.3201471231732</v>
      </c>
      <c r="E433" s="26" t="n">
        <f aca="true">MAX(0,$E$7+$F$7*_xlfn.NORM.S.INV(RAND()))</f>
        <v>2.33919176956912</v>
      </c>
      <c r="F433" s="27" t="n">
        <f aca="false">1/(1+EXP(-03_Inputs_Assumptions!$B$14*(E433-03_Inputs_Assumptions!$B$5)))</f>
        <v>0.00932948619313613</v>
      </c>
      <c r="G433" s="28" t="n">
        <f aca="false">D433*04_Baseline_PnL!$B$15*F433*04_Baseline_PnL!$B$14</f>
        <v>43538.2809071619</v>
      </c>
      <c r="H433" s="28" t="n">
        <f aca="false">D433*03_Inputs_Assumptions!$B$13*01_Macro_Data!$B$97*($G$7-1)+D433*04_Baseline_PnL!$B$15*04_Baseline_PnL!$B$13*03_Inputs_Assumptions!$B$15*($H$7-1)</f>
        <v>166152.153831602</v>
      </c>
      <c r="I433" s="16" t="n">
        <f aca="false">G433+H433</f>
        <v>209690.434738764</v>
      </c>
    </row>
    <row r="434" customFormat="false" ht="15" hidden="false" customHeight="true" outlineLevel="0" collapsed="false">
      <c r="A434" s="4" t="s">
        <v>303</v>
      </c>
      <c r="B434" s="4" t="n">
        <v>124</v>
      </c>
      <c r="C434" s="24" t="n">
        <f aca="true">RAND()</f>
        <v>0.579481141932837</v>
      </c>
      <c r="D434" s="25" t="n">
        <f aca="false">IF(C434&lt;(($C$7-$B$7)/($D$7-$B$7)),$B$7+SQRT(C434*($D$7-$B$7)*($C$7-$B$7)),$D$7-SQRT((1-C434)*($D$7-$B$7)*($D$7-$C$7)))</f>
        <v>18.6193230304746</v>
      </c>
      <c r="E434" s="26" t="n">
        <f aca="true">MAX(0,$E$7+$F$7*_xlfn.NORM.S.INV(RAND()))</f>
        <v>1.26163099680684</v>
      </c>
      <c r="F434" s="27" t="n">
        <f aca="false">1/(1+EXP(-03_Inputs_Assumptions!$B$14*(E434-03_Inputs_Assumptions!$B$5)))</f>
        <v>0.00714201810220426</v>
      </c>
      <c r="G434" s="28" t="n">
        <f aca="false">D434*04_Baseline_PnL!$B$15*F434*04_Baseline_PnL!$B$14</f>
        <v>38025.4458202467</v>
      </c>
      <c r="H434" s="28" t="n">
        <f aca="false">D434*03_Inputs_Assumptions!$B$13*01_Macro_Data!$B$97*($G$7-1)+D434*04_Baseline_PnL!$B$15*04_Baseline_PnL!$B$13*03_Inputs_Assumptions!$B$15*($H$7-1)</f>
        <v>189559.603908656</v>
      </c>
      <c r="I434" s="16" t="n">
        <f aca="false">G434+H434</f>
        <v>227585.049728902</v>
      </c>
    </row>
    <row r="435" customFormat="false" ht="15" hidden="false" customHeight="true" outlineLevel="0" collapsed="false">
      <c r="A435" s="4" t="s">
        <v>303</v>
      </c>
      <c r="B435" s="4" t="n">
        <v>125</v>
      </c>
      <c r="C435" s="24" t="n">
        <f aca="true">RAND()</f>
        <v>0.222861388120475</v>
      </c>
      <c r="D435" s="25" t="n">
        <f aca="false">IF(C435&lt;(($C$7-$B$7)/($D$7-$B$7)),$B$7+SQRT(C435*($D$7-$B$7)*($C$7-$B$7)),$D$7-SQRT((1-C435)*($D$7-$B$7)*($D$7-$C$7)))</f>
        <v>14.2628750833147</v>
      </c>
      <c r="E435" s="26" t="n">
        <f aca="true">MAX(0,$E$7+$F$7*_xlfn.NORM.S.INV(RAND()))</f>
        <v>2.36154243408904</v>
      </c>
      <c r="F435" s="27" t="n">
        <f aca="false">1/(1+EXP(-03_Inputs_Assumptions!$B$14*(E435-03_Inputs_Assumptions!$B$5)))</f>
        <v>0.00938127174639842</v>
      </c>
      <c r="G435" s="28" t="n">
        <f aca="false">D435*04_Baseline_PnL!$B$15*F435*04_Baseline_PnL!$B$14</f>
        <v>38261.1726290988</v>
      </c>
      <c r="H435" s="28" t="n">
        <f aca="false">D435*03_Inputs_Assumptions!$B$13*01_Macro_Data!$B$97*($G$7-1)+D435*04_Baseline_PnL!$B$15*04_Baseline_PnL!$B$13*03_Inputs_Assumptions!$B$15*($H$7-1)</f>
        <v>145207.47864821</v>
      </c>
      <c r="I435" s="16" t="n">
        <f aca="false">G435+H435</f>
        <v>183468.651277309</v>
      </c>
    </row>
    <row r="436" customFormat="false" ht="15" hidden="false" customHeight="true" outlineLevel="0" collapsed="false">
      <c r="A436" s="4" t="s">
        <v>303</v>
      </c>
      <c r="B436" s="4" t="n">
        <v>126</v>
      </c>
      <c r="C436" s="24" t="n">
        <f aca="true">RAND()</f>
        <v>0.940974929345136</v>
      </c>
      <c r="D436" s="25" t="n">
        <f aca="false">IF(C436&lt;(($C$7-$B$7)/($D$7-$B$7)),$B$7+SQRT(C436*($D$7-$B$7)*($C$7-$B$7)),$D$7-SQRT((1-C436)*($D$7-$B$7)*($D$7-$C$7)))</f>
        <v>25.7362315070236</v>
      </c>
      <c r="E436" s="26" t="n">
        <f aca="true">MAX(0,$E$7+$F$7*_xlfn.NORM.S.INV(RAND()))</f>
        <v>2.7777522279219</v>
      </c>
      <c r="F436" s="27" t="n">
        <f aca="false">1/(1+EXP(-03_Inputs_Assumptions!$B$14*(E436-03_Inputs_Assumptions!$B$5)))</f>
        <v>0.0103993112093914</v>
      </c>
      <c r="G436" s="28" t="n">
        <f aca="false">D436*04_Baseline_PnL!$B$15*F436*04_Baseline_PnL!$B$14</f>
        <v>76531.2859627283</v>
      </c>
      <c r="H436" s="28" t="n">
        <f aca="false">D436*03_Inputs_Assumptions!$B$13*01_Macro_Data!$B$97*($G$7-1)+D436*04_Baseline_PnL!$B$15*04_Baseline_PnL!$B$13*03_Inputs_Assumptions!$B$15*($H$7-1)</f>
        <v>262015.425726706</v>
      </c>
      <c r="I436" s="16" t="n">
        <f aca="false">G436+H436</f>
        <v>338546.711689435</v>
      </c>
    </row>
    <row r="437" customFormat="false" ht="15" hidden="false" customHeight="true" outlineLevel="0" collapsed="false">
      <c r="A437" s="4" t="s">
        <v>303</v>
      </c>
      <c r="B437" s="4" t="n">
        <v>127</v>
      </c>
      <c r="C437" s="24" t="n">
        <f aca="true">RAND()</f>
        <v>0.322039169214864</v>
      </c>
      <c r="D437" s="25" t="n">
        <f aca="false">IF(C437&lt;(($C$7-$B$7)/($D$7-$B$7)),$B$7+SQRT(C437*($D$7-$B$7)*($C$7-$B$7)),$D$7-SQRT((1-C437)*($D$7-$B$7)*($D$7-$C$7)))</f>
        <v>15.528538621925</v>
      </c>
      <c r="E437" s="26" t="n">
        <f aca="true">MAX(0,$E$7+$F$7*_xlfn.NORM.S.INV(RAND()))</f>
        <v>0.183631151864674</v>
      </c>
      <c r="F437" s="27" t="n">
        <f aca="false">1/(1+EXP(-03_Inputs_Assumptions!$B$14*(E437-03_Inputs_Assumptions!$B$5)))</f>
        <v>0.00546401609830534</v>
      </c>
      <c r="G437" s="28" t="n">
        <f aca="false">D437*04_Baseline_PnL!$B$15*F437*04_Baseline_PnL!$B$14</f>
        <v>24262.3038881409</v>
      </c>
      <c r="H437" s="28" t="n">
        <f aca="false">D437*03_Inputs_Assumptions!$B$13*01_Macro_Data!$B$97*($G$7-1)+D437*04_Baseline_PnL!$B$15*04_Baseline_PnL!$B$13*03_Inputs_Assumptions!$B$15*($H$7-1)</f>
        <v>158092.946002094</v>
      </c>
      <c r="I437" s="16" t="n">
        <f aca="false">G437+H437</f>
        <v>182355.249890235</v>
      </c>
    </row>
    <row r="438" customFormat="false" ht="15" hidden="false" customHeight="true" outlineLevel="0" collapsed="false">
      <c r="A438" s="4" t="s">
        <v>303</v>
      </c>
      <c r="B438" s="4" t="n">
        <v>128</v>
      </c>
      <c r="C438" s="24" t="n">
        <f aca="true">RAND()</f>
        <v>0.903428747500584</v>
      </c>
      <c r="D438" s="25" t="n">
        <f aca="false">IF(C438&lt;(($C$7-$B$7)/($D$7-$B$7)),$B$7+SQRT(C438*($D$7-$B$7)*($C$7-$B$7)),$D$7-SQRT((1-C438)*($D$7-$B$7)*($D$7-$C$7)))</f>
        <v>24.5461989612913</v>
      </c>
      <c r="E438" s="26" t="n">
        <f aca="true">MAX(0,$E$7+$F$7*_xlfn.NORM.S.INV(RAND()))</f>
        <v>3.70201434120231</v>
      </c>
      <c r="F438" s="27" t="n">
        <f aca="false">1/(1+EXP(-03_Inputs_Assumptions!$B$14*(E438-03_Inputs_Assumptions!$B$5)))</f>
        <v>0.0130672034006379</v>
      </c>
      <c r="G438" s="28" t="n">
        <f aca="false">D438*04_Baseline_PnL!$B$15*F438*04_Baseline_PnL!$B$14</f>
        <v>91718.3815497298</v>
      </c>
      <c r="H438" s="28" t="n">
        <f aca="false">D438*03_Inputs_Assumptions!$B$13*01_Macro_Data!$B$97*($G$7-1)+D438*04_Baseline_PnL!$B$15*04_Baseline_PnL!$B$13*03_Inputs_Assumptions!$B$15*($H$7-1)</f>
        <v>249899.942385115</v>
      </c>
      <c r="I438" s="16" t="n">
        <f aca="false">G438+H438</f>
        <v>341618.323934844</v>
      </c>
    </row>
    <row r="439" customFormat="false" ht="15" hidden="false" customHeight="true" outlineLevel="0" collapsed="false">
      <c r="A439" s="4" t="s">
        <v>303</v>
      </c>
      <c r="B439" s="4" t="n">
        <v>129</v>
      </c>
      <c r="C439" s="24" t="n">
        <f aca="true">RAND()</f>
        <v>0.227398656980515</v>
      </c>
      <c r="D439" s="25" t="n">
        <f aca="false">IF(C439&lt;(($C$7-$B$7)/($D$7-$B$7)),$B$7+SQRT(C439*($D$7-$B$7)*($C$7-$B$7)),$D$7-SQRT((1-C439)*($D$7-$B$7)*($D$7-$C$7)))</f>
        <v>14.3263072663735</v>
      </c>
      <c r="E439" s="26" t="n">
        <f aca="true">MAX(0,$E$7+$F$7*_xlfn.NORM.S.INV(RAND()))</f>
        <v>3.73815497661485</v>
      </c>
      <c r="F439" s="27" t="n">
        <f aca="false">1/(1+EXP(-03_Inputs_Assumptions!$B$14*(E439-03_Inputs_Assumptions!$B$5)))</f>
        <v>0.0131842389931398</v>
      </c>
      <c r="G439" s="28" t="n">
        <f aca="false">D439*04_Baseline_PnL!$B$15*F439*04_Baseline_PnL!$B$14</f>
        <v>54010.5761093134</v>
      </c>
      <c r="H439" s="28" t="n">
        <f aca="false">D439*03_Inputs_Assumptions!$B$13*01_Macro_Data!$B$97*($G$7-1)+D439*04_Baseline_PnL!$B$15*04_Baseline_PnL!$B$13*03_Inputs_Assumptions!$B$15*($H$7-1)</f>
        <v>145853.269017496</v>
      </c>
      <c r="I439" s="16" t="n">
        <f aca="false">G439+H439</f>
        <v>199863.845126809</v>
      </c>
    </row>
    <row r="440" customFormat="false" ht="15" hidden="false" customHeight="true" outlineLevel="0" collapsed="false">
      <c r="A440" s="4" t="s">
        <v>303</v>
      </c>
      <c r="B440" s="4" t="n">
        <v>130</v>
      </c>
      <c r="C440" s="24" t="n">
        <f aca="true">RAND()</f>
        <v>0.978730575706104</v>
      </c>
      <c r="D440" s="25" t="n">
        <f aca="false">IF(C440&lt;(($C$7-$B$7)/($D$7-$B$7)),$B$7+SQRT(C440*($D$7-$B$7)*($C$7-$B$7)),$D$7-SQRT((1-C440)*($D$7-$B$7)*($D$7-$C$7)))</f>
        <v>27.4405112458696</v>
      </c>
      <c r="E440" s="26" t="n">
        <f aca="true">MAX(0,$E$7+$F$7*_xlfn.NORM.S.INV(RAND()))</f>
        <v>4.26309160550642</v>
      </c>
      <c r="F440" s="27" t="n">
        <f aca="false">1/(1+EXP(-03_Inputs_Assumptions!$B$14*(E440-03_Inputs_Assumptions!$B$5)))</f>
        <v>0.0150053840962122</v>
      </c>
      <c r="G440" s="28" t="n">
        <f aca="false">D440*04_Baseline_PnL!$B$15*F440*04_Baseline_PnL!$B$14</f>
        <v>117741.2917988</v>
      </c>
      <c r="H440" s="28" t="n">
        <f aca="false">D440*03_Inputs_Assumptions!$B$13*01_Macro_Data!$B$97*($G$7-1)+D440*04_Baseline_PnL!$B$15*04_Baseline_PnL!$B$13*03_Inputs_Assumptions!$B$15*($H$7-1)</f>
        <v>279366.356891949</v>
      </c>
      <c r="I440" s="16" t="n">
        <f aca="false">G440+H440</f>
        <v>397107.648690749</v>
      </c>
    </row>
    <row r="441" customFormat="false" ht="15" hidden="false" customHeight="true" outlineLevel="0" collapsed="false">
      <c r="A441" s="4" t="s">
        <v>303</v>
      </c>
      <c r="B441" s="4" t="n">
        <v>131</v>
      </c>
      <c r="C441" s="24" t="n">
        <f aca="true">RAND()</f>
        <v>0.00170893868952848</v>
      </c>
      <c r="D441" s="25" t="n">
        <f aca="false">IF(C441&lt;(($C$7-$B$7)/($D$7-$B$7)),$B$7+SQRT(C441*($D$7-$B$7)*($C$7-$B$7)),$D$7-SQRT((1-C441)*($D$7-$B$7)*($D$7-$C$7)))</f>
        <v>8.54842794363254</v>
      </c>
      <c r="E441" s="26" t="n">
        <f aca="true">MAX(0,$E$7+$F$7*_xlfn.NORM.S.INV(RAND()))</f>
        <v>2.59694548096361</v>
      </c>
      <c r="F441" s="27" t="n">
        <f aca="false">1/(1+EXP(-03_Inputs_Assumptions!$B$14*(E441-03_Inputs_Assumptions!$B$5)))</f>
        <v>0.00994428081833899</v>
      </c>
      <c r="G441" s="28" t="n">
        <f aca="false">D441*04_Baseline_PnL!$B$15*F441*04_Baseline_PnL!$B$14</f>
        <v>24307.9937756524</v>
      </c>
      <c r="H441" s="28" t="n">
        <f aca="false">D441*03_Inputs_Assumptions!$B$13*01_Macro_Data!$B$97*($G$7-1)+D441*04_Baseline_PnL!$B$15*04_Baseline_PnL!$B$13*03_Inputs_Assumptions!$B$15*($H$7-1)</f>
        <v>87029.8352085342</v>
      </c>
      <c r="I441" s="16" t="n">
        <f aca="false">G441+H441</f>
        <v>111337.828984187</v>
      </c>
    </row>
    <row r="442" customFormat="false" ht="15" hidden="false" customHeight="true" outlineLevel="0" collapsed="false">
      <c r="A442" s="4" t="s">
        <v>303</v>
      </c>
      <c r="B442" s="4" t="n">
        <v>132</v>
      </c>
      <c r="C442" s="24" t="n">
        <f aca="true">RAND()</f>
        <v>0.860216760251849</v>
      </c>
      <c r="D442" s="25" t="n">
        <f aca="false">IF(C442&lt;(($C$7-$B$7)/($D$7-$B$7)),$B$7+SQRT(C442*($D$7-$B$7)*($C$7-$B$7)),$D$7-SQRT((1-C442)*($D$7-$B$7)*($D$7-$C$7)))</f>
        <v>23.4385033839504</v>
      </c>
      <c r="E442" s="26" t="n">
        <f aca="true">MAX(0,$E$7+$F$7*_xlfn.NORM.S.INV(RAND()))</f>
        <v>2.70925672873287</v>
      </c>
      <c r="F442" s="27" t="n">
        <f aca="false">1/(1+EXP(-03_Inputs_Assumptions!$B$14*(E442-03_Inputs_Assumptions!$B$5)))</f>
        <v>0.0102245559730579</v>
      </c>
      <c r="G442" s="28" t="n">
        <f aca="false">D442*04_Baseline_PnL!$B$15*F442*04_Baseline_PnL!$B$14</f>
        <v>68527.3306889555</v>
      </c>
      <c r="H442" s="28" t="n">
        <f aca="false">D442*03_Inputs_Assumptions!$B$13*01_Macro_Data!$B$97*($G$7-1)+D442*04_Baseline_PnL!$B$15*04_Baseline_PnL!$B$13*03_Inputs_Assumptions!$B$15*($H$7-1)</f>
        <v>238622.715251322</v>
      </c>
      <c r="I442" s="16" t="n">
        <f aca="false">G442+H442</f>
        <v>307150.045940278</v>
      </c>
    </row>
    <row r="443" customFormat="false" ht="15" hidden="false" customHeight="true" outlineLevel="0" collapsed="false">
      <c r="A443" s="4" t="s">
        <v>303</v>
      </c>
      <c r="B443" s="4" t="n">
        <v>133</v>
      </c>
      <c r="C443" s="24" t="n">
        <f aca="true">RAND()</f>
        <v>0.339086023497135</v>
      </c>
      <c r="D443" s="25" t="n">
        <f aca="false">IF(C443&lt;(($C$7-$B$7)/($D$7-$B$7)),$B$7+SQRT(C443*($D$7-$B$7)*($C$7-$B$7)),$D$7-SQRT((1-C443)*($D$7-$B$7)*($D$7-$C$7)))</f>
        <v>15.7252275135103</v>
      </c>
      <c r="E443" s="26" t="n">
        <f aca="true">MAX(0,$E$7+$F$7*_xlfn.NORM.S.INV(RAND()))</f>
        <v>3.63197191776571</v>
      </c>
      <c r="F443" s="27" t="n">
        <f aca="false">1/(1+EXP(-03_Inputs_Assumptions!$B$14*(E443-03_Inputs_Assumptions!$B$5)))</f>
        <v>0.0128432936052701</v>
      </c>
      <c r="G443" s="28" t="n">
        <f aca="false">D443*04_Baseline_PnL!$B$15*F443*04_Baseline_PnL!$B$14</f>
        <v>57751.4416111758</v>
      </c>
      <c r="H443" s="28" t="n">
        <f aca="false">D443*03_Inputs_Assumptions!$B$13*01_Macro_Data!$B$97*($G$7-1)+D443*04_Baseline_PnL!$B$15*04_Baseline_PnL!$B$13*03_Inputs_Assumptions!$B$15*($H$7-1)</f>
        <v>160095.396269545</v>
      </c>
      <c r="I443" s="16" t="n">
        <f aca="false">G443+H443</f>
        <v>217846.837880721</v>
      </c>
    </row>
    <row r="444" customFormat="false" ht="15" hidden="false" customHeight="true" outlineLevel="0" collapsed="false">
      <c r="A444" s="4" t="s">
        <v>303</v>
      </c>
      <c r="B444" s="4" t="n">
        <v>134</v>
      </c>
      <c r="C444" s="24" t="n">
        <f aca="true">RAND()</f>
        <v>0.720643351554855</v>
      </c>
      <c r="D444" s="25" t="n">
        <f aca="false">IF(C444&lt;(($C$7-$B$7)/($D$7-$B$7)),$B$7+SQRT(C444*($D$7-$B$7)*($C$7-$B$7)),$D$7-SQRT((1-C444)*($D$7-$B$7)*($D$7-$C$7)))</f>
        <v>20.7241255010051</v>
      </c>
      <c r="E444" s="26" t="n">
        <f aca="true">MAX(0,$E$7+$F$7*_xlfn.NORM.S.INV(RAND()))</f>
        <v>3.61196780416905</v>
      </c>
      <c r="F444" s="27" t="n">
        <f aca="false">1/(1+EXP(-03_Inputs_Assumptions!$B$14*(E444-03_Inputs_Assumptions!$B$5)))</f>
        <v>0.0127800430779061</v>
      </c>
      <c r="G444" s="28" t="n">
        <f aca="false">D444*04_Baseline_PnL!$B$15*F444*04_Baseline_PnL!$B$14</f>
        <v>75735.2411465986</v>
      </c>
      <c r="H444" s="28" t="n">
        <f aca="false">D444*03_Inputs_Assumptions!$B$13*01_Macro_Data!$B$97*($G$7-1)+D444*04_Baseline_PnL!$B$15*04_Baseline_PnL!$B$13*03_Inputs_Assumptions!$B$15*($H$7-1)</f>
        <v>210988.176900632</v>
      </c>
      <c r="I444" s="16" t="n">
        <f aca="false">G444+H444</f>
        <v>286723.418047231</v>
      </c>
    </row>
    <row r="445" customFormat="false" ht="15" hidden="false" customHeight="true" outlineLevel="0" collapsed="false">
      <c r="A445" s="4" t="s">
        <v>303</v>
      </c>
      <c r="B445" s="4" t="n">
        <v>135</v>
      </c>
      <c r="C445" s="24" t="n">
        <f aca="true">RAND()</f>
        <v>0.207665889858686</v>
      </c>
      <c r="D445" s="25" t="n">
        <f aca="false">IF(C445&lt;(($C$7-$B$7)/($D$7-$B$7)),$B$7+SQRT(C445*($D$7-$B$7)*($C$7-$B$7)),$D$7-SQRT((1-C445)*($D$7-$B$7)*($D$7-$C$7)))</f>
        <v>14.0455931566</v>
      </c>
      <c r="E445" s="26" t="n">
        <f aca="true">MAX(0,$E$7+$F$7*_xlfn.NORM.S.INV(RAND()))</f>
        <v>0.231323918147103</v>
      </c>
      <c r="F445" s="27" t="n">
        <f aca="false">1/(1+EXP(-03_Inputs_Assumptions!$B$14*(E445-03_Inputs_Assumptions!$B$5)))</f>
        <v>0.00552919217162813</v>
      </c>
      <c r="G445" s="28" t="n">
        <f aca="false">D445*04_Baseline_PnL!$B$15*F445*04_Baseline_PnL!$B$14</f>
        <v>22207.0694227284</v>
      </c>
      <c r="H445" s="28" t="n">
        <f aca="false">D445*03_Inputs_Assumptions!$B$13*01_Macro_Data!$B$97*($G$7-1)+D445*04_Baseline_PnL!$B$15*04_Baseline_PnL!$B$13*03_Inputs_Assumptions!$B$15*($H$7-1)</f>
        <v>142995.374808713</v>
      </c>
      <c r="I445" s="16" t="n">
        <f aca="false">G445+H445</f>
        <v>165202.444231442</v>
      </c>
    </row>
    <row r="446" customFormat="false" ht="15" hidden="false" customHeight="true" outlineLevel="0" collapsed="false">
      <c r="A446" s="4" t="s">
        <v>303</v>
      </c>
      <c r="B446" s="4" t="n">
        <v>136</v>
      </c>
      <c r="C446" s="24" t="n">
        <f aca="true">RAND()</f>
        <v>0.553491554887162</v>
      </c>
      <c r="D446" s="25" t="n">
        <f aca="false">IF(C446&lt;(($C$7-$B$7)/($D$7-$B$7)),$B$7+SQRT(C446*($D$7-$B$7)*($C$7-$B$7)),$D$7-SQRT((1-C446)*($D$7-$B$7)*($D$7-$C$7)))</f>
        <v>18.272911653153</v>
      </c>
      <c r="E446" s="26" t="n">
        <f aca="true">MAX(0,$E$7+$F$7*_xlfn.NORM.S.INV(RAND()))</f>
        <v>3.33611551435286</v>
      </c>
      <c r="F446" s="27" t="n">
        <f aca="false">1/(1+EXP(-03_Inputs_Assumptions!$B$14*(E446-03_Inputs_Assumptions!$B$5)))</f>
        <v>0.0119385631018984</v>
      </c>
      <c r="G446" s="28" t="n">
        <f aca="false">D446*04_Baseline_PnL!$B$15*F446*04_Baseline_PnL!$B$14</f>
        <v>62380.5637070142</v>
      </c>
      <c r="H446" s="28" t="n">
        <f aca="false">D446*03_Inputs_Assumptions!$B$13*01_Macro_Data!$B$97*($G$7-1)+D446*04_Baseline_PnL!$B$15*04_Baseline_PnL!$B$13*03_Inputs_Assumptions!$B$15*($H$7-1)</f>
        <v>186032.858958421</v>
      </c>
      <c r="I446" s="16" t="n">
        <f aca="false">G446+H446</f>
        <v>248413.422665435</v>
      </c>
    </row>
    <row r="447" customFormat="false" ht="15" hidden="false" customHeight="true" outlineLevel="0" collapsed="false">
      <c r="A447" s="4" t="s">
        <v>303</v>
      </c>
      <c r="B447" s="4" t="n">
        <v>137</v>
      </c>
      <c r="C447" s="24" t="n">
        <f aca="true">RAND()</f>
        <v>0.738284584891788</v>
      </c>
      <c r="D447" s="25" t="n">
        <f aca="false">IF(C447&lt;(($C$7-$B$7)/($D$7-$B$7)),$B$7+SQRT(C447*($D$7-$B$7)*($C$7-$B$7)),$D$7-SQRT((1-C447)*($D$7-$B$7)*($D$7-$C$7)))</f>
        <v>21.0217848180538</v>
      </c>
      <c r="E447" s="26" t="n">
        <f aca="true">MAX(0,$E$7+$F$7*_xlfn.NORM.S.INV(RAND()))</f>
        <v>5.08872092695079</v>
      </c>
      <c r="F447" s="27" t="n">
        <f aca="false">1/(1+EXP(-03_Inputs_Assumptions!$B$14*(E447-03_Inputs_Assumptions!$B$5)))</f>
        <v>0.0183821901395839</v>
      </c>
      <c r="G447" s="28" t="n">
        <f aca="false">D447*04_Baseline_PnL!$B$15*F447*04_Baseline_PnL!$B$14</f>
        <v>110498.484464442</v>
      </c>
      <c r="H447" s="28" t="n">
        <f aca="false">D447*03_Inputs_Assumptions!$B$13*01_Macro_Data!$B$97*($G$7-1)+D447*04_Baseline_PnL!$B$15*04_Baseline_PnL!$B$13*03_Inputs_Assumptions!$B$15*($H$7-1)</f>
        <v>214018.586875642</v>
      </c>
      <c r="I447" s="16" t="n">
        <f aca="false">G447+H447</f>
        <v>324517.071340084</v>
      </c>
    </row>
    <row r="448" customFormat="false" ht="15" hidden="false" customHeight="true" outlineLevel="0" collapsed="false">
      <c r="A448" s="4" t="s">
        <v>303</v>
      </c>
      <c r="B448" s="4" t="n">
        <v>138</v>
      </c>
      <c r="C448" s="24" t="n">
        <f aca="true">RAND()</f>
        <v>0.381386777832264</v>
      </c>
      <c r="D448" s="25" t="n">
        <f aca="false">IF(C448&lt;(($C$7-$B$7)/($D$7-$B$7)),$B$7+SQRT(C448*($D$7-$B$7)*($C$7-$B$7)),$D$7-SQRT((1-C448)*($D$7-$B$7)*($D$7-$C$7)))</f>
        <v>16.1966354671166</v>
      </c>
      <c r="E448" s="26" t="n">
        <f aca="true">MAX(0,$E$7+$F$7*_xlfn.NORM.S.INV(RAND()))</f>
        <v>3.65743866366591</v>
      </c>
      <c r="F448" s="27" t="n">
        <f aca="false">1/(1+EXP(-03_Inputs_Assumptions!$B$14*(E448-03_Inputs_Assumptions!$B$5)))</f>
        <v>0.0129242635034388</v>
      </c>
      <c r="G448" s="28" t="n">
        <f aca="false">D448*04_Baseline_PnL!$B$15*F448*04_Baseline_PnL!$B$14</f>
        <v>59857.709327124</v>
      </c>
      <c r="H448" s="28" t="n">
        <f aca="false">D448*03_Inputs_Assumptions!$B$13*01_Macro_Data!$B$97*($G$7-1)+D448*04_Baseline_PnL!$B$15*04_Baseline_PnL!$B$13*03_Inputs_Assumptions!$B$15*($H$7-1)</f>
        <v>164894.706363621</v>
      </c>
      <c r="I448" s="16" t="n">
        <f aca="false">G448+H448</f>
        <v>224752.415690745</v>
      </c>
    </row>
    <row r="449" customFormat="false" ht="15" hidden="false" customHeight="true" outlineLevel="0" collapsed="false">
      <c r="A449" s="4" t="s">
        <v>303</v>
      </c>
      <c r="B449" s="4" t="n">
        <v>139</v>
      </c>
      <c r="C449" s="24" t="n">
        <f aca="true">RAND()</f>
        <v>0.915922235939488</v>
      </c>
      <c r="D449" s="25" t="n">
        <f aca="false">IF(C449&lt;(($C$7-$B$7)/($D$7-$B$7)),$B$7+SQRT(C449*($D$7-$B$7)*($C$7-$B$7)),$D$7-SQRT((1-C449)*($D$7-$B$7)*($D$7-$C$7)))</f>
        <v>24.9111935259201</v>
      </c>
      <c r="E449" s="26" t="n">
        <f aca="true">MAX(0,$E$7+$F$7*_xlfn.NORM.S.INV(RAND()))</f>
        <v>2.48539757050566</v>
      </c>
      <c r="F449" s="27" t="n">
        <f aca="false">1/(1+EXP(-03_Inputs_Assumptions!$B$14*(E449-03_Inputs_Assumptions!$B$5)))</f>
        <v>0.00967344147859831</v>
      </c>
      <c r="G449" s="28" t="n">
        <f aca="false">D449*04_Baseline_PnL!$B$15*F449*04_Baseline_PnL!$B$14</f>
        <v>68907.2670396096</v>
      </c>
      <c r="H449" s="28" t="n">
        <f aca="false">D449*03_Inputs_Assumptions!$B$13*01_Macro_Data!$B$97*($G$7-1)+D449*04_Baseline_PnL!$B$15*04_Baseline_PnL!$B$13*03_Inputs_Assumptions!$B$15*($H$7-1)</f>
        <v>253615.879048687</v>
      </c>
      <c r="I449" s="16" t="n">
        <f aca="false">G449+H449</f>
        <v>322523.146088297</v>
      </c>
    </row>
    <row r="450" customFormat="false" ht="15" hidden="false" customHeight="true" outlineLevel="0" collapsed="false">
      <c r="A450" s="4" t="s">
        <v>303</v>
      </c>
      <c r="B450" s="4" t="n">
        <v>140</v>
      </c>
      <c r="C450" s="24" t="n">
        <f aca="true">RAND()</f>
        <v>0.342022623067443</v>
      </c>
      <c r="D450" s="25" t="n">
        <f aca="false">IF(C450&lt;(($C$7-$B$7)/($D$7-$B$7)),$B$7+SQRT(C450*($D$7-$B$7)*($C$7-$B$7)),$D$7-SQRT((1-C450)*($D$7-$B$7)*($D$7-$C$7)))</f>
        <v>15.7586069406737</v>
      </c>
      <c r="E450" s="26" t="n">
        <f aca="true">MAX(0,$E$7+$F$7*_xlfn.NORM.S.INV(RAND()))</f>
        <v>3.98335861683599</v>
      </c>
      <c r="F450" s="27" t="n">
        <f aca="false">1/(1+EXP(-03_Inputs_Assumptions!$B$14*(E450-03_Inputs_Assumptions!$B$5)))</f>
        <v>0.0140060568188318</v>
      </c>
      <c r="G450" s="28" t="n">
        <f aca="false">D450*04_Baseline_PnL!$B$15*F450*04_Baseline_PnL!$B$14</f>
        <v>63113.6341951895</v>
      </c>
      <c r="H450" s="28" t="n">
        <f aca="false">D450*03_Inputs_Assumptions!$B$13*01_Macro_Data!$B$97*($G$7-1)+D450*04_Baseline_PnL!$B$15*04_Baseline_PnL!$B$13*03_Inputs_Assumptions!$B$15*($H$7-1)</f>
        <v>160435.225541611</v>
      </c>
      <c r="I450" s="16" t="n">
        <f aca="false">G450+H450</f>
        <v>223548.8597368</v>
      </c>
    </row>
    <row r="451" customFormat="false" ht="15" hidden="false" customHeight="true" outlineLevel="0" collapsed="false">
      <c r="A451" s="4" t="s">
        <v>303</v>
      </c>
      <c r="B451" s="4" t="n">
        <v>141</v>
      </c>
      <c r="C451" s="24" t="n">
        <f aca="true">RAND()</f>
        <v>0.0709198710508429</v>
      </c>
      <c r="D451" s="25" t="n">
        <f aca="false">IF(C451&lt;(($C$7-$B$7)/($D$7-$B$7)),$B$7+SQRT(C451*($D$7-$B$7)*($C$7-$B$7)),$D$7-SQRT((1-C451)*($D$7-$B$7)*($D$7-$C$7)))</f>
        <v>11.5329728706782</v>
      </c>
      <c r="E451" s="26" t="n">
        <f aca="true">MAX(0,$E$7+$F$7*_xlfn.NORM.S.INV(RAND()))</f>
        <v>5.34236988457652</v>
      </c>
      <c r="F451" s="27" t="n">
        <f aca="false">1/(1+EXP(-03_Inputs_Assumptions!$B$14*(E451-03_Inputs_Assumptions!$B$5)))</f>
        <v>0.0195620570177034</v>
      </c>
      <c r="G451" s="28" t="n">
        <f aca="false">D451*04_Baseline_PnL!$B$15*F451*04_Baseline_PnL!$B$14</f>
        <v>64512.7079659885</v>
      </c>
      <c r="H451" s="28" t="n">
        <f aca="false">D451*03_Inputs_Assumptions!$B$13*01_Macro_Data!$B$97*($G$7-1)+D451*04_Baseline_PnL!$B$15*04_Baseline_PnL!$B$13*03_Inputs_Assumptions!$B$15*($H$7-1)</f>
        <v>117414.890201801</v>
      </c>
      <c r="I451" s="16" t="n">
        <f aca="false">G451+H451</f>
        <v>181927.598167789</v>
      </c>
    </row>
    <row r="452" customFormat="false" ht="15" hidden="false" customHeight="true" outlineLevel="0" collapsed="false">
      <c r="A452" s="4" t="s">
        <v>303</v>
      </c>
      <c r="B452" s="4" t="n">
        <v>142</v>
      </c>
      <c r="C452" s="24" t="n">
        <f aca="true">RAND()</f>
        <v>0.362855117591955</v>
      </c>
      <c r="D452" s="25" t="n">
        <f aca="false">IF(C452&lt;(($C$7-$B$7)/($D$7-$B$7)),$B$7+SQRT(C452*($D$7-$B$7)*($C$7-$B$7)),$D$7-SQRT((1-C452)*($D$7-$B$7)*($D$7-$C$7)))</f>
        <v>15.9914016728096</v>
      </c>
      <c r="E452" s="26" t="n">
        <f aca="true">MAX(0,$E$7+$F$7*_xlfn.NORM.S.INV(RAND()))</f>
        <v>2.82777774639859</v>
      </c>
      <c r="F452" s="27" t="n">
        <f aca="false">1/(1+EXP(-03_Inputs_Assumptions!$B$14*(E452-03_Inputs_Assumptions!$B$5)))</f>
        <v>0.0105288076683581</v>
      </c>
      <c r="G452" s="28" t="n">
        <f aca="false">D452*04_Baseline_PnL!$B$15*F452*04_Baseline_PnL!$B$14</f>
        <v>48145.4450607846</v>
      </c>
      <c r="H452" s="28" t="n">
        <f aca="false">D452*03_Inputs_Assumptions!$B$13*01_Macro_Data!$B$97*($G$7-1)+D452*04_Baseline_PnL!$B$15*04_Baseline_PnL!$B$13*03_Inputs_Assumptions!$B$15*($H$7-1)</f>
        <v>162805.26215054</v>
      </c>
      <c r="I452" s="16" t="n">
        <f aca="false">G452+H452</f>
        <v>210950.707211325</v>
      </c>
    </row>
    <row r="453" customFormat="false" ht="15" hidden="false" customHeight="true" outlineLevel="0" collapsed="false">
      <c r="A453" s="4" t="s">
        <v>303</v>
      </c>
      <c r="B453" s="4" t="n">
        <v>143</v>
      </c>
      <c r="C453" s="24" t="n">
        <f aca="true">RAND()</f>
        <v>0.50048689911405</v>
      </c>
      <c r="D453" s="25" t="n">
        <f aca="false">IF(C453&lt;(($C$7-$B$7)/($D$7-$B$7)),$B$7+SQRT(C453*($D$7-$B$7)*($C$7-$B$7)),$D$7-SQRT((1-C453)*($D$7-$B$7)*($D$7-$C$7)))</f>
        <v>17.596370084815</v>
      </c>
      <c r="E453" s="26" t="n">
        <f aca="true">MAX(0,$E$7+$F$7*_xlfn.NORM.S.INV(RAND()))</f>
        <v>3.95652723971766</v>
      </c>
      <c r="F453" s="27" t="n">
        <f aca="false">1/(1+EXP(-03_Inputs_Assumptions!$B$14*(E453-03_Inputs_Assumptions!$B$5)))</f>
        <v>0.0139137235959395</v>
      </c>
      <c r="G453" s="28" t="n">
        <f aca="false">D453*04_Baseline_PnL!$B$15*F453*04_Baseline_PnL!$B$14</f>
        <v>70009.3330426304</v>
      </c>
      <c r="H453" s="28" t="n">
        <f aca="false">D453*03_Inputs_Assumptions!$B$13*01_Macro_Data!$B$97*($G$7-1)+D453*04_Baseline_PnL!$B$15*04_Baseline_PnL!$B$13*03_Inputs_Assumptions!$B$15*($H$7-1)</f>
        <v>179145.124559484</v>
      </c>
      <c r="I453" s="16" t="n">
        <f aca="false">G453+H453</f>
        <v>249154.457602115</v>
      </c>
    </row>
    <row r="454" customFormat="false" ht="15" hidden="false" customHeight="true" outlineLevel="0" collapsed="false">
      <c r="A454" s="4" t="s">
        <v>303</v>
      </c>
      <c r="B454" s="4" t="n">
        <v>144</v>
      </c>
      <c r="C454" s="24" t="n">
        <f aca="true">RAND()</f>
        <v>0.475503756522773</v>
      </c>
      <c r="D454" s="25" t="n">
        <f aca="false">IF(C454&lt;(($C$7-$B$7)/($D$7-$B$7)),$B$7+SQRT(C454*($D$7-$B$7)*($C$7-$B$7)),$D$7-SQRT((1-C454)*($D$7-$B$7)*($D$7-$C$7)))</f>
        <v>17.2899707714346</v>
      </c>
      <c r="E454" s="26" t="n">
        <f aca="true">MAX(0,$E$7+$F$7*_xlfn.NORM.S.INV(RAND()))</f>
        <v>4.51865514716539</v>
      </c>
      <c r="F454" s="27" t="n">
        <f aca="false">1/(1+EXP(-03_Inputs_Assumptions!$B$14*(E454-03_Inputs_Assumptions!$B$5)))</f>
        <v>0.015979560793201</v>
      </c>
      <c r="G454" s="28" t="n">
        <f aca="false">D454*04_Baseline_PnL!$B$15*F454*04_Baseline_PnL!$B$14</f>
        <v>79003.9087432907</v>
      </c>
      <c r="H454" s="28" t="n">
        <f aca="false">D454*03_Inputs_Assumptions!$B$13*01_Macro_Data!$B$97*($G$7-1)+D454*04_Baseline_PnL!$B$15*04_Baseline_PnL!$B$13*03_Inputs_Assumptions!$B$15*($H$7-1)</f>
        <v>176025.734429822</v>
      </c>
      <c r="I454" s="16" t="n">
        <f aca="false">G454+H454</f>
        <v>255029.643173113</v>
      </c>
    </row>
    <row r="455" customFormat="false" ht="15" hidden="false" customHeight="true" outlineLevel="0" collapsed="false">
      <c r="A455" s="4" t="s">
        <v>303</v>
      </c>
      <c r="B455" s="4" t="n">
        <v>145</v>
      </c>
      <c r="C455" s="24" t="n">
        <f aca="true">RAND()</f>
        <v>0.463290104813564</v>
      </c>
      <c r="D455" s="25" t="n">
        <f aca="false">IF(C455&lt;(($C$7-$B$7)/($D$7-$B$7)),$B$7+SQRT(C455*($D$7-$B$7)*($C$7-$B$7)),$D$7-SQRT((1-C455)*($D$7-$B$7)*($D$7-$C$7)))</f>
        <v>17.1428367157673</v>
      </c>
      <c r="E455" s="26" t="n">
        <f aca="true">MAX(0,$E$7+$F$7*_xlfn.NORM.S.INV(RAND()))</f>
        <v>2.76521201539162</v>
      </c>
      <c r="F455" s="27" t="n">
        <f aca="false">1/(1+EXP(-03_Inputs_Assumptions!$B$14*(E455-03_Inputs_Assumptions!$B$5)))</f>
        <v>0.0103670973308862</v>
      </c>
      <c r="G455" s="28" t="n">
        <f aca="false">D455*04_Baseline_PnL!$B$15*F455*04_Baseline_PnL!$B$14</f>
        <v>50819.3780535422</v>
      </c>
      <c r="H455" s="28" t="n">
        <f aca="false">D455*03_Inputs_Assumptions!$B$13*01_Macro_Data!$B$97*($G$7-1)+D455*04_Baseline_PnL!$B$15*04_Baseline_PnL!$B$13*03_Inputs_Assumptions!$B$15*($H$7-1)</f>
        <v>174527.792035884</v>
      </c>
      <c r="I455" s="16" t="n">
        <f aca="false">G455+H455</f>
        <v>225347.170089426</v>
      </c>
    </row>
    <row r="456" customFormat="false" ht="15" hidden="false" customHeight="true" outlineLevel="0" collapsed="false">
      <c r="A456" s="4" t="s">
        <v>303</v>
      </c>
      <c r="B456" s="4" t="n">
        <v>146</v>
      </c>
      <c r="C456" s="24" t="n">
        <f aca="true">RAND()</f>
        <v>0.440566346110826</v>
      </c>
      <c r="D456" s="25" t="n">
        <f aca="false">IF(C456&lt;(($C$7-$B$7)/($D$7-$B$7)),$B$7+SQRT(C456*($D$7-$B$7)*($C$7-$B$7)),$D$7-SQRT((1-C456)*($D$7-$B$7)*($D$7-$C$7)))</f>
        <v>16.873478549217</v>
      </c>
      <c r="E456" s="26" t="n">
        <f aca="true">MAX(0,$E$7+$F$7*_xlfn.NORM.S.INV(RAND()))</f>
        <v>1.02564710929335</v>
      </c>
      <c r="F456" s="27" t="n">
        <f aca="false">1/(1+EXP(-03_Inputs_Assumptions!$B$14*(E456-03_Inputs_Assumptions!$B$5)))</f>
        <v>0.00673561188868256</v>
      </c>
      <c r="G456" s="28" t="n">
        <f aca="false">D456*04_Baseline_PnL!$B$15*F456*04_Baseline_PnL!$B$14</f>
        <v>32499.0869493304</v>
      </c>
      <c r="H456" s="28" t="n">
        <f aca="false">D456*03_Inputs_Assumptions!$B$13*01_Macro_Data!$B$97*($G$7-1)+D456*04_Baseline_PnL!$B$15*04_Baseline_PnL!$B$13*03_Inputs_Assumptions!$B$15*($H$7-1)</f>
        <v>171785.510413869</v>
      </c>
      <c r="I456" s="16" t="n">
        <f aca="false">G456+H456</f>
        <v>204284.597363199</v>
      </c>
    </row>
    <row r="457" customFormat="false" ht="15" hidden="false" customHeight="true" outlineLevel="0" collapsed="false">
      <c r="A457" s="4" t="s">
        <v>303</v>
      </c>
      <c r="B457" s="4" t="n">
        <v>147</v>
      </c>
      <c r="C457" s="24" t="n">
        <f aca="true">RAND()</f>
        <v>0.79217713143071</v>
      </c>
      <c r="D457" s="25" t="n">
        <f aca="false">IF(C457&lt;(($C$7-$B$7)/($D$7-$B$7)),$B$7+SQRT(C457*($D$7-$B$7)*($C$7-$B$7)),$D$7-SQRT((1-C457)*($D$7-$B$7)*($D$7-$C$7)))</f>
        <v>21.999409801812</v>
      </c>
      <c r="E457" s="26" t="n">
        <f aca="true">MAX(0,$E$7+$F$7*_xlfn.NORM.S.INV(RAND()))</f>
        <v>3.42356114263488</v>
      </c>
      <c r="F457" s="27" t="n">
        <f aca="false">1/(1+EXP(-03_Inputs_Assumptions!$B$14*(E457-03_Inputs_Assumptions!$B$5)))</f>
        <v>0.0121992116626857</v>
      </c>
      <c r="G457" s="28" t="n">
        <f aca="false">D457*04_Baseline_PnL!$B$15*F457*04_Baseline_PnL!$B$14</f>
        <v>76741.852330313</v>
      </c>
      <c r="H457" s="28" t="n">
        <f aca="false">D457*03_Inputs_Assumptions!$B$13*01_Macro_Data!$B$97*($G$7-1)+D457*04_Baseline_PnL!$B$15*04_Baseline_PnL!$B$13*03_Inputs_Assumptions!$B$15*($H$7-1)</f>
        <v>223971.591310288</v>
      </c>
      <c r="I457" s="16" t="n">
        <f aca="false">G457+H457</f>
        <v>300713.443640601</v>
      </c>
    </row>
    <row r="458" customFormat="false" ht="15" hidden="false" customHeight="true" outlineLevel="0" collapsed="false">
      <c r="A458" s="4" t="s">
        <v>303</v>
      </c>
      <c r="B458" s="4" t="n">
        <v>148</v>
      </c>
      <c r="C458" s="24" t="n">
        <f aca="true">RAND()</f>
        <v>0.307343853795124</v>
      </c>
      <c r="D458" s="25" t="n">
        <f aca="false">IF(C458&lt;(($C$7-$B$7)/($D$7-$B$7)),$B$7+SQRT(C458*($D$7-$B$7)*($C$7-$B$7)),$D$7-SQRT((1-C458)*($D$7-$B$7)*($D$7-$C$7)))</f>
        <v>15.354761605106</v>
      </c>
      <c r="E458" s="26" t="n">
        <f aca="true">MAX(0,$E$7+$F$7*_xlfn.NORM.S.INV(RAND()))</f>
        <v>3.22484158934439</v>
      </c>
      <c r="F458" s="27" t="n">
        <f aca="false">1/(1+EXP(-03_Inputs_Assumptions!$B$14*(E458-03_Inputs_Assumptions!$B$5)))</f>
        <v>0.0116148315775947</v>
      </c>
      <c r="G458" s="28" t="n">
        <f aca="false">D458*04_Baseline_PnL!$B$15*F458*04_Baseline_PnL!$B$14</f>
        <v>50997.0994988232</v>
      </c>
      <c r="H458" s="28" t="n">
        <f aca="false">D458*03_Inputs_Assumptions!$B$13*01_Macro_Data!$B$97*($G$7-1)+D458*04_Baseline_PnL!$B$15*04_Baseline_PnL!$B$13*03_Inputs_Assumptions!$B$15*($H$7-1)</f>
        <v>156323.756949264</v>
      </c>
      <c r="I458" s="16" t="n">
        <f aca="false">G458+H458</f>
        <v>207320.856448087</v>
      </c>
    </row>
    <row r="459" customFormat="false" ht="15" hidden="false" customHeight="true" outlineLevel="0" collapsed="false">
      <c r="A459" s="4" t="s">
        <v>303</v>
      </c>
      <c r="B459" s="4" t="n">
        <v>149</v>
      </c>
      <c r="C459" s="24" t="n">
        <f aca="true">RAND()</f>
        <v>0.748632637500068</v>
      </c>
      <c r="D459" s="25" t="n">
        <f aca="false">IF(C459&lt;(($C$7-$B$7)/($D$7-$B$7)),$B$7+SQRT(C459*($D$7-$B$7)*($C$7-$B$7)),$D$7-SQRT((1-C459)*($D$7-$B$7)*($D$7-$C$7)))</f>
        <v>21.2010712214509</v>
      </c>
      <c r="E459" s="26" t="n">
        <f aca="true">MAX(0,$E$7+$F$7*_xlfn.NORM.S.INV(RAND()))</f>
        <v>6.91884530539541</v>
      </c>
      <c r="F459" s="27" t="n">
        <f aca="false">1/(1+EXP(-03_Inputs_Assumptions!$B$14*(E459-03_Inputs_Assumptions!$B$5)))</f>
        <v>0.0287404366715256</v>
      </c>
      <c r="G459" s="28" t="n">
        <f aca="false">D459*04_Baseline_PnL!$B$15*F459*04_Baseline_PnL!$B$14</f>
        <v>174237.105818899</v>
      </c>
      <c r="H459" s="28" t="n">
        <f aca="false">D459*03_Inputs_Assumptions!$B$13*01_Macro_Data!$B$97*($G$7-1)+D459*04_Baseline_PnL!$B$15*04_Baseline_PnL!$B$13*03_Inputs_Assumptions!$B$15*($H$7-1)</f>
        <v>215843.865891348</v>
      </c>
      <c r="I459" s="16" t="n">
        <f aca="false">G459+H459</f>
        <v>390080.971710247</v>
      </c>
    </row>
    <row r="460" customFormat="false" ht="15" hidden="false" customHeight="true" outlineLevel="0" collapsed="false">
      <c r="A460" s="4" t="s">
        <v>303</v>
      </c>
      <c r="B460" s="4" t="n">
        <v>150</v>
      </c>
      <c r="C460" s="24" t="n">
        <f aca="true">RAND()</f>
        <v>0.577875242894328</v>
      </c>
      <c r="D460" s="25" t="n">
        <f aca="false">IF(C460&lt;(($C$7-$B$7)/($D$7-$B$7)),$B$7+SQRT(C460*($D$7-$B$7)*($C$7-$B$7)),$D$7-SQRT((1-C460)*($D$7-$B$7)*($D$7-$C$7)))</f>
        <v>18.5976131801913</v>
      </c>
      <c r="E460" s="26" t="n">
        <f aca="true">MAX(0,$E$7+$F$7*_xlfn.NORM.S.INV(RAND()))</f>
        <v>3.19921301694673</v>
      </c>
      <c r="F460" s="27" t="n">
        <f aca="false">1/(1+EXP(-03_Inputs_Assumptions!$B$14*(E460-03_Inputs_Assumptions!$B$5)))</f>
        <v>0.0115415077332504</v>
      </c>
      <c r="G460" s="28" t="n">
        <f aca="false">D460*04_Baseline_PnL!$B$15*F460*04_Baseline_PnL!$B$14</f>
        <v>61377.5061573609</v>
      </c>
      <c r="H460" s="28" t="n">
        <f aca="false">D460*03_Inputs_Assumptions!$B$13*01_Macro_Data!$B$97*($G$7-1)+D460*04_Baseline_PnL!$B$15*04_Baseline_PnL!$B$13*03_Inputs_Assumptions!$B$15*($H$7-1)</f>
        <v>189338.580264892</v>
      </c>
      <c r="I460" s="16" t="n">
        <f aca="false">G460+H460</f>
        <v>250716.086422253</v>
      </c>
    </row>
    <row r="461" customFormat="false" ht="15" hidden="false" customHeight="true" outlineLevel="0" collapsed="false">
      <c r="A461" s="4" t="s">
        <v>303</v>
      </c>
      <c r="B461" s="4" t="n">
        <v>151</v>
      </c>
      <c r="C461" s="24" t="n">
        <f aca="true">RAND()</f>
        <v>0.210715723017845</v>
      </c>
      <c r="D461" s="25" t="n">
        <f aca="false">IF(C461&lt;(($C$7-$B$7)/($D$7-$B$7)),$B$7+SQRT(C461*($D$7-$B$7)*($C$7-$B$7)),$D$7-SQRT((1-C461)*($D$7-$B$7)*($D$7-$C$7)))</f>
        <v>14.089824894949</v>
      </c>
      <c r="E461" s="26" t="n">
        <f aca="true">MAX(0,$E$7+$F$7*_xlfn.NORM.S.INV(RAND()))</f>
        <v>3.89503278642117</v>
      </c>
      <c r="F461" s="27" t="n">
        <f aca="false">1/(1+EXP(-03_Inputs_Assumptions!$B$14*(E461-03_Inputs_Assumptions!$B$5)))</f>
        <v>0.0137043642389899</v>
      </c>
      <c r="G461" s="28" t="n">
        <f aca="false">D461*04_Baseline_PnL!$B$15*F461*04_Baseline_PnL!$B$14</f>
        <v>55214.6050507734</v>
      </c>
      <c r="H461" s="28" t="n">
        <f aca="false">D461*03_Inputs_Assumptions!$B$13*01_Macro_Data!$B$97*($G$7-1)+D461*04_Baseline_PnL!$B$15*04_Baseline_PnL!$B$13*03_Inputs_Assumptions!$B$15*($H$7-1)</f>
        <v>143445.689290497</v>
      </c>
      <c r="I461" s="16" t="n">
        <f aca="false">G461+H461</f>
        <v>198660.29434127</v>
      </c>
    </row>
    <row r="462" customFormat="false" ht="15" hidden="false" customHeight="true" outlineLevel="0" collapsed="false">
      <c r="A462" s="4" t="s">
        <v>303</v>
      </c>
      <c r="B462" s="4" t="n">
        <v>152</v>
      </c>
      <c r="C462" s="24" t="n">
        <f aca="true">RAND()</f>
        <v>0.159806726805692</v>
      </c>
      <c r="D462" s="25" t="n">
        <f aca="false">IF(C462&lt;(($C$7-$B$7)/($D$7-$B$7)),$B$7+SQRT(C462*($D$7-$B$7)*($C$7-$B$7)),$D$7-SQRT((1-C462)*($D$7-$B$7)*($D$7-$C$7)))</f>
        <v>13.3033936227478</v>
      </c>
      <c r="E462" s="26" t="n">
        <f aca="true">MAX(0,$E$7+$F$7*_xlfn.NORM.S.INV(RAND()))</f>
        <v>0.886281195579176</v>
      </c>
      <c r="F462" s="27" t="n">
        <f aca="false">1/(1+EXP(-03_Inputs_Assumptions!$B$14*(E462-03_Inputs_Assumptions!$B$5)))</f>
        <v>0.00650647505550635</v>
      </c>
      <c r="G462" s="28" t="n">
        <f aca="false">D462*04_Baseline_PnL!$B$15*F462*04_Baseline_PnL!$B$14</f>
        <v>24751.2816213388</v>
      </c>
      <c r="H462" s="28" t="n">
        <f aca="false">D462*03_Inputs_Assumptions!$B$13*01_Macro_Data!$B$97*($G$7-1)+D462*04_Baseline_PnL!$B$15*04_Baseline_PnL!$B$13*03_Inputs_Assumptions!$B$15*($H$7-1)</f>
        <v>135439.189794471</v>
      </c>
      <c r="I462" s="16" t="n">
        <f aca="false">G462+H462</f>
        <v>160190.47141581</v>
      </c>
    </row>
    <row r="463" customFormat="false" ht="15" hidden="false" customHeight="true" outlineLevel="0" collapsed="false">
      <c r="A463" s="4" t="s">
        <v>303</v>
      </c>
      <c r="B463" s="4" t="n">
        <v>153</v>
      </c>
      <c r="C463" s="24" t="n">
        <f aca="true">RAND()</f>
        <v>0.047269823366342</v>
      </c>
      <c r="D463" s="25" t="n">
        <f aca="false">IF(C463&lt;(($C$7-$B$7)/($D$7-$B$7)),$B$7+SQRT(C463*($D$7-$B$7)*($C$7-$B$7)),$D$7-SQRT((1-C463)*($D$7-$B$7)*($D$7-$C$7)))</f>
        <v>10.8843524251513</v>
      </c>
      <c r="E463" s="26" t="n">
        <f aca="true">MAX(0,$E$7+$F$7*_xlfn.NORM.S.INV(RAND()))</f>
        <v>3.35923184806249</v>
      </c>
      <c r="F463" s="27" t="n">
        <f aca="false">1/(1+EXP(-03_Inputs_Assumptions!$B$14*(E463-03_Inputs_Assumptions!$B$5)))</f>
        <v>0.0120069259959597</v>
      </c>
      <c r="G463" s="28" t="n">
        <f aca="false">D463*04_Baseline_PnL!$B$15*F463*04_Baseline_PnL!$B$14</f>
        <v>37370.0699289251</v>
      </c>
      <c r="H463" s="28" t="n">
        <f aca="false">D463*03_Inputs_Assumptions!$B$13*01_Macro_Data!$B$97*($G$7-1)+D463*04_Baseline_PnL!$B$15*04_Baseline_PnL!$B$13*03_Inputs_Assumptions!$B$15*($H$7-1)</f>
        <v>110811.41516998</v>
      </c>
      <c r="I463" s="16" t="n">
        <f aca="false">G463+H463</f>
        <v>148181.485098906</v>
      </c>
    </row>
    <row r="464" customFormat="false" ht="15" hidden="false" customHeight="true" outlineLevel="0" collapsed="false">
      <c r="A464" s="4" t="s">
        <v>303</v>
      </c>
      <c r="B464" s="4" t="n">
        <v>154</v>
      </c>
      <c r="C464" s="24" t="n">
        <f aca="true">RAND()</f>
        <v>0.361145650693462</v>
      </c>
      <c r="D464" s="25" t="n">
        <f aca="false">IF(C464&lt;(($C$7-$B$7)/($D$7-$B$7)),$B$7+SQRT(C464*($D$7-$B$7)*($C$7-$B$7)),$D$7-SQRT((1-C464)*($D$7-$B$7)*($D$7-$C$7)))</f>
        <v>15.9725550811549</v>
      </c>
      <c r="E464" s="26" t="n">
        <f aca="true">MAX(0,$E$7+$F$7*_xlfn.NORM.S.INV(RAND()))</f>
        <v>2.85097764984587</v>
      </c>
      <c r="F464" s="27" t="n">
        <f aca="false">1/(1+EXP(-03_Inputs_Assumptions!$B$14*(E464-03_Inputs_Assumptions!$B$5)))</f>
        <v>0.0105894033943935</v>
      </c>
      <c r="G464" s="28" t="n">
        <f aca="false">D464*04_Baseline_PnL!$B$15*F464*04_Baseline_PnL!$B$14</f>
        <v>48365.4650948995</v>
      </c>
      <c r="H464" s="28" t="n">
        <f aca="false">D464*03_Inputs_Assumptions!$B$13*01_Macro_Data!$B$97*($G$7-1)+D464*04_Baseline_PnL!$B$15*04_Baseline_PnL!$B$13*03_Inputs_Assumptions!$B$15*($H$7-1)</f>
        <v>162613.388770222</v>
      </c>
      <c r="I464" s="16" t="n">
        <f aca="false">G464+H464</f>
        <v>210978.853865122</v>
      </c>
    </row>
    <row r="465" customFormat="false" ht="15" hidden="false" customHeight="true" outlineLevel="0" collapsed="false">
      <c r="A465" s="4" t="s">
        <v>303</v>
      </c>
      <c r="B465" s="4" t="n">
        <v>155</v>
      </c>
      <c r="C465" s="24" t="n">
        <f aca="true">RAND()</f>
        <v>0.17242188225612</v>
      </c>
      <c r="D465" s="25" t="n">
        <f aca="false">IF(C465&lt;(($C$7-$B$7)/($D$7-$B$7)),$B$7+SQRT(C465*($D$7-$B$7)*($C$7-$B$7)),$D$7-SQRT((1-C465)*($D$7-$B$7)*($D$7-$C$7)))</f>
        <v>13.5087431667375</v>
      </c>
      <c r="E465" s="26" t="n">
        <f aca="true">MAX(0,$E$7+$F$7*_xlfn.NORM.S.INV(RAND()))</f>
        <v>3.43500436314336</v>
      </c>
      <c r="F465" s="27" t="n">
        <f aca="false">1/(1+EXP(-03_Inputs_Assumptions!$B$14*(E465-03_Inputs_Assumptions!$B$5)))</f>
        <v>0.0122337336347199</v>
      </c>
      <c r="G465" s="28" t="n">
        <f aca="false">D465*04_Baseline_PnL!$B$15*F465*04_Baseline_PnL!$B$14</f>
        <v>47256.7060313796</v>
      </c>
      <c r="H465" s="28" t="n">
        <f aca="false">D465*03_Inputs_Assumptions!$B$13*01_Macro_Data!$B$97*($G$7-1)+D465*04_Baseline_PnL!$B$15*04_Baseline_PnL!$B$13*03_Inputs_Assumptions!$B$15*($H$7-1)</f>
        <v>137529.812431921</v>
      </c>
      <c r="I465" s="16" t="n">
        <f aca="false">G465+H465</f>
        <v>184786.518463301</v>
      </c>
    </row>
    <row r="466" customFormat="false" ht="15" hidden="false" customHeight="true" outlineLevel="0" collapsed="false">
      <c r="A466" s="4" t="s">
        <v>303</v>
      </c>
      <c r="B466" s="4" t="n">
        <v>156</v>
      </c>
      <c r="C466" s="24" t="n">
        <f aca="true">RAND()</f>
        <v>0.347231229102978</v>
      </c>
      <c r="D466" s="25" t="n">
        <f aca="false">IF(C466&lt;(($C$7-$B$7)/($D$7-$B$7)),$B$7+SQRT(C466*($D$7-$B$7)*($C$7-$B$7)),$D$7-SQRT((1-C466)*($D$7-$B$7)*($D$7-$C$7)))</f>
        <v>15.8174609894853</v>
      </c>
      <c r="E466" s="26" t="n">
        <f aca="true">MAX(0,$E$7+$F$7*_xlfn.NORM.S.INV(RAND()))</f>
        <v>3.48622916074056</v>
      </c>
      <c r="F466" s="27" t="n">
        <f aca="false">1/(1+EXP(-03_Inputs_Assumptions!$B$14*(E466-03_Inputs_Assumptions!$B$5)))</f>
        <v>0.0123894552130487</v>
      </c>
      <c r="G466" s="28" t="n">
        <f aca="false">D466*04_Baseline_PnL!$B$15*F466*04_Baseline_PnL!$B$14</f>
        <v>56037.4627727198</v>
      </c>
      <c r="H466" s="28" t="n">
        <f aca="false">D466*03_Inputs_Assumptions!$B$13*01_Macro_Data!$B$97*($G$7-1)+D466*04_Baseline_PnL!$B$15*04_Baseline_PnL!$B$13*03_Inputs_Assumptions!$B$15*($H$7-1)</f>
        <v>161034.406841752</v>
      </c>
      <c r="I466" s="16" t="n">
        <f aca="false">G466+H466</f>
        <v>217071.869614472</v>
      </c>
    </row>
    <row r="467" customFormat="false" ht="15" hidden="false" customHeight="true" outlineLevel="0" collapsed="false">
      <c r="A467" s="4" t="s">
        <v>303</v>
      </c>
      <c r="B467" s="4" t="n">
        <v>157</v>
      </c>
      <c r="C467" s="24" t="n">
        <f aca="true">RAND()</f>
        <v>0.319688550732879</v>
      </c>
      <c r="D467" s="25" t="n">
        <f aca="false">IF(C467&lt;(($C$7-$B$7)/($D$7-$B$7)),$B$7+SQRT(C467*($D$7-$B$7)*($C$7-$B$7)),$D$7-SQRT((1-C467)*($D$7-$B$7)*($D$7-$C$7)))</f>
        <v>15.5010122602877</v>
      </c>
      <c r="E467" s="26" t="n">
        <f aca="true">MAX(0,$E$7+$F$7*_xlfn.NORM.S.INV(RAND()))</f>
        <v>5.67530133442685</v>
      </c>
      <c r="F467" s="27" t="n">
        <f aca="false">1/(1+EXP(-03_Inputs_Assumptions!$B$14*(E467-03_Inputs_Assumptions!$B$5)))</f>
        <v>0.021223907105469</v>
      </c>
      <c r="G467" s="28" t="n">
        <f aca="false">D467*04_Baseline_PnL!$B$15*F467*04_Baseline_PnL!$B$14</f>
        <v>94075.1408317417</v>
      </c>
      <c r="H467" s="28" t="n">
        <f aca="false">D467*03_Inputs_Assumptions!$B$13*01_Macro_Data!$B$97*($G$7-1)+D467*04_Baseline_PnL!$B$15*04_Baseline_PnL!$B$13*03_Inputs_Assumptions!$B$15*($H$7-1)</f>
        <v>157812.705619537</v>
      </c>
      <c r="I467" s="16" t="n">
        <f aca="false">G467+H467</f>
        <v>251887.846451279</v>
      </c>
    </row>
    <row r="468" customFormat="false" ht="15" hidden="false" customHeight="true" outlineLevel="0" collapsed="false">
      <c r="A468" s="4" t="s">
        <v>303</v>
      </c>
      <c r="B468" s="4" t="n">
        <v>158</v>
      </c>
      <c r="C468" s="24" t="n">
        <f aca="true">RAND()</f>
        <v>0.507755601191433</v>
      </c>
      <c r="D468" s="25" t="n">
        <f aca="false">IF(C468&lt;(($C$7-$B$7)/($D$7-$B$7)),$B$7+SQRT(C468*($D$7-$B$7)*($C$7-$B$7)),$D$7-SQRT((1-C468)*($D$7-$B$7)*($D$7-$C$7)))</f>
        <v>17.6869469735147</v>
      </c>
      <c r="E468" s="26" t="n">
        <f aca="true">MAX(0,$E$7+$F$7*_xlfn.NORM.S.INV(RAND()))</f>
        <v>1.69202572732804</v>
      </c>
      <c r="F468" s="27" t="n">
        <f aca="false">1/(1+EXP(-03_Inputs_Assumptions!$B$14*(E468-03_Inputs_Assumptions!$B$5)))</f>
        <v>0.00794690906943609</v>
      </c>
      <c r="G468" s="28" t="n">
        <f aca="false">D468*04_Baseline_PnL!$B$15*F468*04_Baseline_PnL!$B$14</f>
        <v>40192.0907915964</v>
      </c>
      <c r="H468" s="28" t="n">
        <f aca="false">D468*03_Inputs_Assumptions!$B$13*01_Macro_Data!$B$97*($G$7-1)+D468*04_Baseline_PnL!$B$15*04_Baseline_PnL!$B$13*03_Inputs_Assumptions!$B$15*($H$7-1)</f>
        <v>180067.269747959</v>
      </c>
      <c r="I468" s="16" t="n">
        <f aca="false">G468+H468</f>
        <v>220259.360539555</v>
      </c>
    </row>
    <row r="469" customFormat="false" ht="15" hidden="false" customHeight="true" outlineLevel="0" collapsed="false">
      <c r="A469" s="4" t="s">
        <v>303</v>
      </c>
      <c r="B469" s="4" t="n">
        <v>159</v>
      </c>
      <c r="C469" s="24" t="n">
        <f aca="true">RAND()</f>
        <v>0.246299128364145</v>
      </c>
      <c r="D469" s="25" t="n">
        <f aca="false">IF(C469&lt;(($C$7-$B$7)/($D$7-$B$7)),$B$7+SQRT(C469*($D$7-$B$7)*($C$7-$B$7)),$D$7-SQRT((1-C469)*($D$7-$B$7)*($D$7-$C$7)))</f>
        <v>14.5839689088034</v>
      </c>
      <c r="E469" s="26" t="n">
        <f aca="true">MAX(0,$E$7+$F$7*_xlfn.NORM.S.INV(RAND()))</f>
        <v>4.10354941161522</v>
      </c>
      <c r="F469" s="27" t="n">
        <f aca="false">1/(1+EXP(-03_Inputs_Assumptions!$B$14*(E469-03_Inputs_Assumptions!$B$5)))</f>
        <v>0.0144271293902745</v>
      </c>
      <c r="G469" s="28" t="n">
        <f aca="false">D469*04_Baseline_PnL!$B$15*F469*04_Baseline_PnL!$B$14</f>
        <v>60165.168569281</v>
      </c>
      <c r="H469" s="28" t="n">
        <f aca="false">D469*03_Inputs_Assumptions!$B$13*01_Macro_Data!$B$97*($G$7-1)+D469*04_Baseline_PnL!$B$15*04_Baseline_PnL!$B$13*03_Inputs_Assumptions!$B$15*($H$7-1)</f>
        <v>148476.470666746</v>
      </c>
      <c r="I469" s="16" t="n">
        <f aca="false">G469+H469</f>
        <v>208641.639236027</v>
      </c>
    </row>
    <row r="470" customFormat="false" ht="15" hidden="false" customHeight="true" outlineLevel="0" collapsed="false">
      <c r="A470" s="4" t="s">
        <v>303</v>
      </c>
      <c r="B470" s="4" t="n">
        <v>160</v>
      </c>
      <c r="C470" s="24" t="n">
        <f aca="true">RAND()</f>
        <v>0.403426874720671</v>
      </c>
      <c r="D470" s="25" t="n">
        <f aca="false">IF(C470&lt;(($C$7-$B$7)/($D$7-$B$7)),$B$7+SQRT(C470*($D$7-$B$7)*($C$7-$B$7)),$D$7-SQRT((1-C470)*($D$7-$B$7)*($D$7-$C$7)))</f>
        <v>16.4447603272375</v>
      </c>
      <c r="E470" s="26" t="n">
        <f aca="true">MAX(0,$E$7+$F$7*_xlfn.NORM.S.INV(RAND()))</f>
        <v>3.62379293493511</v>
      </c>
      <c r="F470" s="27" t="n">
        <f aca="false">1/(1+EXP(-03_Inputs_Assumptions!$B$14*(E470-03_Inputs_Assumptions!$B$5)))</f>
        <v>0.0128173954234951</v>
      </c>
      <c r="G470" s="28" t="n">
        <f aca="false">D470*04_Baseline_PnL!$B$15*F470*04_Baseline_PnL!$B$14</f>
        <v>60272.1678434543</v>
      </c>
      <c r="H470" s="28" t="n">
        <f aca="false">D470*03_Inputs_Assumptions!$B$13*01_Macro_Data!$B$97*($G$7-1)+D470*04_Baseline_PnL!$B$15*04_Baseline_PnL!$B$13*03_Inputs_Assumptions!$B$15*($H$7-1)</f>
        <v>167420.81593954</v>
      </c>
      <c r="I470" s="16" t="n">
        <f aca="false">G470+H470</f>
        <v>227692.983782994</v>
      </c>
    </row>
    <row r="471" customFormat="false" ht="15" hidden="false" customHeight="true" outlineLevel="0" collapsed="false">
      <c r="A471" s="4" t="s">
        <v>303</v>
      </c>
      <c r="B471" s="4" t="n">
        <v>161</v>
      </c>
      <c r="C471" s="24" t="n">
        <f aca="true">RAND()</f>
        <v>0.166576226714764</v>
      </c>
      <c r="D471" s="25" t="n">
        <f aca="false">IF(C471&lt;(($C$7-$B$7)/($D$7-$B$7)),$B$7+SQRT(C471*($D$7-$B$7)*($C$7-$B$7)),$D$7-SQRT((1-C471)*($D$7-$B$7)*($D$7-$C$7)))</f>
        <v>13.4145559284025</v>
      </c>
      <c r="E471" s="26" t="n">
        <f aca="true">MAX(0,$E$7+$F$7*_xlfn.NORM.S.INV(RAND()))</f>
        <v>4.02118311497901</v>
      </c>
      <c r="F471" s="27" t="n">
        <f aca="false">1/(1+EXP(-03_Inputs_Assumptions!$B$14*(E471-03_Inputs_Assumptions!$B$5)))</f>
        <v>0.0141372467533618</v>
      </c>
      <c r="G471" s="28" t="n">
        <f aca="false">D471*04_Baseline_PnL!$B$15*F471*04_Baseline_PnL!$B$14</f>
        <v>54228.8781366977</v>
      </c>
      <c r="H471" s="28" t="n">
        <f aca="false">D471*03_Inputs_Assumptions!$B$13*01_Macro_Data!$B$97*($G$7-1)+D471*04_Baseline_PnL!$B$15*04_Baseline_PnL!$B$13*03_Inputs_Assumptions!$B$15*($H$7-1)</f>
        <v>136570.91099588</v>
      </c>
      <c r="I471" s="16" t="n">
        <f aca="false">G471+H471</f>
        <v>190799.789132578</v>
      </c>
    </row>
    <row r="472" customFormat="false" ht="15" hidden="false" customHeight="true" outlineLevel="0" collapsed="false">
      <c r="A472" s="4" t="s">
        <v>303</v>
      </c>
      <c r="B472" s="4" t="n">
        <v>162</v>
      </c>
      <c r="C472" s="24" t="n">
        <f aca="true">RAND()</f>
        <v>0.509807532172293</v>
      </c>
      <c r="D472" s="25" t="n">
        <f aca="false">IF(C472&lt;(($C$7-$B$7)/($D$7-$B$7)),$B$7+SQRT(C472*($D$7-$B$7)*($C$7-$B$7)),$D$7-SQRT((1-C472)*($D$7-$B$7)*($D$7-$C$7)))</f>
        <v>17.7126373826222</v>
      </c>
      <c r="E472" s="26" t="n">
        <f aca="true">MAX(0,$E$7+$F$7*_xlfn.NORM.S.INV(RAND()))</f>
        <v>4.45895103448809</v>
      </c>
      <c r="F472" s="27" t="n">
        <f aca="false">1/(1+EXP(-03_Inputs_Assumptions!$B$14*(E472-03_Inputs_Assumptions!$B$5)))</f>
        <v>0.0157465484499634</v>
      </c>
      <c r="G472" s="28" t="n">
        <f aca="false">D472*04_Baseline_PnL!$B$15*F472*04_Baseline_PnL!$B$14</f>
        <v>79755.030742282</v>
      </c>
      <c r="H472" s="28" t="n">
        <f aca="false">D472*03_Inputs_Assumptions!$B$13*01_Macro_Data!$B$97*($G$7-1)+D472*04_Baseline_PnL!$B$15*04_Baseline_PnL!$B$13*03_Inputs_Assumptions!$B$15*($H$7-1)</f>
        <v>180328.818665</v>
      </c>
      <c r="I472" s="16" t="n">
        <f aca="false">G472+H472</f>
        <v>260083.849407282</v>
      </c>
    </row>
    <row r="473" customFormat="false" ht="15" hidden="false" customHeight="true" outlineLevel="0" collapsed="false">
      <c r="A473" s="4" t="s">
        <v>303</v>
      </c>
      <c r="B473" s="4" t="n">
        <v>163</v>
      </c>
      <c r="C473" s="24" t="n">
        <f aca="true">RAND()</f>
        <v>0.720120462112597</v>
      </c>
      <c r="D473" s="25" t="n">
        <f aca="false">IF(C473&lt;(($C$7-$B$7)/($D$7-$B$7)),$B$7+SQRT(C473*($D$7-$B$7)*($C$7-$B$7)),$D$7-SQRT((1-C473)*($D$7-$B$7)*($D$7-$C$7)))</f>
        <v>20.7154484400527</v>
      </c>
      <c r="E473" s="26" t="n">
        <f aca="true">MAX(0,$E$7+$F$7*_xlfn.NORM.S.INV(RAND()))</f>
        <v>1.46569445241201</v>
      </c>
      <c r="F473" s="27" t="n">
        <f aca="false">1/(1+EXP(-03_Inputs_Assumptions!$B$14*(E473-03_Inputs_Assumptions!$B$5)))</f>
        <v>0.00751301993851658</v>
      </c>
      <c r="G473" s="28" t="n">
        <f aca="false">D473*04_Baseline_PnL!$B$15*F473*04_Baseline_PnL!$B$14</f>
        <v>44503.9297941317</v>
      </c>
      <c r="H473" s="28" t="n">
        <f aca="false">D473*03_Inputs_Assumptions!$B$13*01_Macro_Data!$B$97*($G$7-1)+D473*04_Baseline_PnL!$B$15*04_Baseline_PnL!$B$13*03_Inputs_Assumptions!$B$15*($H$7-1)</f>
        <v>210899.837478488</v>
      </c>
      <c r="I473" s="16" t="n">
        <f aca="false">G473+H473</f>
        <v>255403.76727262</v>
      </c>
    </row>
    <row r="474" customFormat="false" ht="15" hidden="false" customHeight="true" outlineLevel="0" collapsed="false">
      <c r="A474" s="4" t="s">
        <v>303</v>
      </c>
      <c r="B474" s="4" t="n">
        <v>164</v>
      </c>
      <c r="C474" s="24" t="n">
        <f aca="true">RAND()</f>
        <v>0.321423499414775</v>
      </c>
      <c r="D474" s="25" t="n">
        <f aca="false">IF(C474&lt;(($C$7-$B$7)/($D$7-$B$7)),$B$7+SQRT(C474*($D$7-$B$7)*($C$7-$B$7)),$D$7-SQRT((1-C474)*($D$7-$B$7)*($D$7-$C$7)))</f>
        <v>15.5213387037814</v>
      </c>
      <c r="E474" s="26" t="n">
        <f aca="true">MAX(0,$E$7+$F$7*_xlfn.NORM.S.INV(RAND()))</f>
        <v>4.44309878110064</v>
      </c>
      <c r="F474" s="27" t="n">
        <f aca="false">1/(1+EXP(-03_Inputs_Assumptions!$B$14*(E474-03_Inputs_Assumptions!$B$5)))</f>
        <v>0.015685244268284</v>
      </c>
      <c r="G474" s="28" t="n">
        <f aca="false">D474*04_Baseline_PnL!$B$15*F474*04_Baseline_PnL!$B$14</f>
        <v>69616.1407119118</v>
      </c>
      <c r="H474" s="28" t="n">
        <f aca="false">D474*03_Inputs_Assumptions!$B$13*01_Macro_Data!$B$97*($G$7-1)+D474*04_Baseline_PnL!$B$15*04_Baseline_PnL!$B$13*03_Inputs_Assumptions!$B$15*($H$7-1)</f>
        <v>158019.645075458</v>
      </c>
      <c r="I474" s="16" t="n">
        <f aca="false">G474+H474</f>
        <v>227635.78578737</v>
      </c>
    </row>
    <row r="475" customFormat="false" ht="15" hidden="false" customHeight="true" outlineLevel="0" collapsed="false">
      <c r="A475" s="4" t="s">
        <v>303</v>
      </c>
      <c r="B475" s="4" t="n">
        <v>165</v>
      </c>
      <c r="C475" s="24" t="n">
        <f aca="true">RAND()</f>
        <v>0.0057559752117945</v>
      </c>
      <c r="D475" s="25" t="n">
        <f aca="false">IF(C475&lt;(($C$7-$B$7)/($D$7-$B$7)),$B$7+SQRT(C475*($D$7-$B$7)*($C$7-$B$7)),$D$7-SQRT((1-C475)*($D$7-$B$7)*($D$7-$C$7)))</f>
        <v>9.00650466331549</v>
      </c>
      <c r="E475" s="26" t="n">
        <f aca="true">MAX(0,$E$7+$F$7*_xlfn.NORM.S.INV(RAND()))</f>
        <v>3.71964340058775</v>
      </c>
      <c r="F475" s="27" t="n">
        <f aca="false">1/(1+EXP(-03_Inputs_Assumptions!$B$14*(E475-03_Inputs_Assumptions!$B$5)))</f>
        <v>0.0131241636252226</v>
      </c>
      <c r="G475" s="28" t="n">
        <f aca="false">D475*04_Baseline_PnL!$B$15*F475*04_Baseline_PnL!$B$14</f>
        <v>33800.0541287767</v>
      </c>
      <c r="H475" s="28" t="n">
        <f aca="false">D475*03_Inputs_Assumptions!$B$13*01_Macro_Data!$B$97*($G$7-1)+D475*04_Baseline_PnL!$B$15*04_Baseline_PnL!$B$13*03_Inputs_Assumptions!$B$15*($H$7-1)</f>
        <v>91693.4226762824</v>
      </c>
      <c r="I475" s="16" t="n">
        <f aca="false">G475+H475</f>
        <v>125493.476805059</v>
      </c>
    </row>
    <row r="476" customFormat="false" ht="15" hidden="false" customHeight="true" outlineLevel="0" collapsed="false">
      <c r="A476" s="4" t="s">
        <v>303</v>
      </c>
      <c r="B476" s="4" t="n">
        <v>166</v>
      </c>
      <c r="C476" s="24" t="n">
        <f aca="true">RAND()</f>
        <v>0.157747896178232</v>
      </c>
      <c r="D476" s="25" t="n">
        <f aca="false">IF(C476&lt;(($C$7-$B$7)/($D$7-$B$7)),$B$7+SQRT(C476*($D$7-$B$7)*($C$7-$B$7)),$D$7-SQRT((1-C476)*($D$7-$B$7)*($D$7-$C$7)))</f>
        <v>13.2691203940856</v>
      </c>
      <c r="E476" s="26" t="n">
        <f aca="true">MAX(0,$E$7+$F$7*_xlfn.NORM.S.INV(RAND()))</f>
        <v>3.93806308896332</v>
      </c>
      <c r="F476" s="27" t="n">
        <f aca="false">1/(1+EXP(-03_Inputs_Assumptions!$B$14*(E476-03_Inputs_Assumptions!$B$5)))</f>
        <v>0.0138505328491683</v>
      </c>
      <c r="G476" s="28" t="n">
        <f aca="false">D476*04_Baseline_PnL!$B$15*F476*04_Baseline_PnL!$B$14</f>
        <v>52553.0707388946</v>
      </c>
      <c r="H476" s="28" t="n">
        <f aca="false">D476*03_Inputs_Assumptions!$B$13*01_Macro_Data!$B$97*($G$7-1)+D476*04_Baseline_PnL!$B$15*04_Baseline_PnL!$B$13*03_Inputs_Assumptions!$B$15*($H$7-1)</f>
        <v>135090.260908107</v>
      </c>
      <c r="I476" s="16" t="n">
        <f aca="false">G476+H476</f>
        <v>187643.331647002</v>
      </c>
    </row>
    <row r="477" customFormat="false" ht="15" hidden="false" customHeight="true" outlineLevel="0" collapsed="false">
      <c r="A477" s="4" t="s">
        <v>303</v>
      </c>
      <c r="B477" s="4" t="n">
        <v>167</v>
      </c>
      <c r="C477" s="24" t="n">
        <f aca="true">RAND()</f>
        <v>0.168789099494468</v>
      </c>
      <c r="D477" s="25" t="n">
        <f aca="false">IF(C477&lt;(($C$7-$B$7)/($D$7-$B$7)),$B$7+SQRT(C477*($D$7-$B$7)*($C$7-$B$7)),$D$7-SQRT((1-C477)*($D$7-$B$7)*($D$7-$C$7)))</f>
        <v>13.4504019586657</v>
      </c>
      <c r="E477" s="26" t="n">
        <f aca="true">MAX(0,$E$7+$F$7*_xlfn.NORM.S.INV(RAND()))</f>
        <v>2.19756312887768</v>
      </c>
      <c r="F477" s="27" t="n">
        <f aca="false">1/(1+EXP(-03_Inputs_Assumptions!$B$14*(E477-03_Inputs_Assumptions!$B$5)))</f>
        <v>0.00900785871097862</v>
      </c>
      <c r="G477" s="28" t="n">
        <f aca="false">D477*04_Baseline_PnL!$B$15*F477*04_Baseline_PnL!$B$14</f>
        <v>34645.4582518705</v>
      </c>
      <c r="H477" s="28" t="n">
        <f aca="false">D477*03_Inputs_Assumptions!$B$13*01_Macro_Data!$B$97*($G$7-1)+D477*04_Baseline_PnL!$B$15*04_Baseline_PnL!$B$13*03_Inputs_Assumptions!$B$15*($H$7-1)</f>
        <v>136935.852260783</v>
      </c>
      <c r="I477" s="16" t="n">
        <f aca="false">G477+H477</f>
        <v>171581.310512654</v>
      </c>
    </row>
    <row r="478" customFormat="false" ht="15" hidden="false" customHeight="true" outlineLevel="0" collapsed="false">
      <c r="A478" s="4" t="s">
        <v>303</v>
      </c>
      <c r="B478" s="4" t="n">
        <v>168</v>
      </c>
      <c r="C478" s="24" t="n">
        <f aca="true">RAND()</f>
        <v>0.258251577065722</v>
      </c>
      <c r="D478" s="25" t="n">
        <f aca="false">IF(C478&lt;(($C$7-$B$7)/($D$7-$B$7)),$B$7+SQRT(C478*($D$7-$B$7)*($C$7-$B$7)),$D$7-SQRT((1-C478)*($D$7-$B$7)*($D$7-$C$7)))</f>
        <v>14.741830431238</v>
      </c>
      <c r="E478" s="26" t="n">
        <f aca="true">MAX(0,$E$7+$F$7*_xlfn.NORM.S.INV(RAND()))</f>
        <v>2.48244361493917</v>
      </c>
      <c r="F478" s="27" t="n">
        <f aca="false">1/(1+EXP(-03_Inputs_Assumptions!$B$14*(E478-03_Inputs_Assumptions!$B$5)))</f>
        <v>0.00966636941508843</v>
      </c>
      <c r="G478" s="28" t="n">
        <f aca="false">D478*04_Baseline_PnL!$B$15*F478*04_Baseline_PnL!$B$14</f>
        <v>40747.8108014495</v>
      </c>
      <c r="H478" s="28" t="n">
        <f aca="false">D478*03_Inputs_Assumptions!$B$13*01_Macro_Data!$B$97*($G$7-1)+D478*04_Baseline_PnL!$B$15*04_Baseline_PnL!$B$13*03_Inputs_Assumptions!$B$15*($H$7-1)</f>
        <v>150083.627254348</v>
      </c>
      <c r="I478" s="16" t="n">
        <f aca="false">G478+H478</f>
        <v>190831.438055798</v>
      </c>
    </row>
    <row r="479" customFormat="false" ht="15" hidden="false" customHeight="true" outlineLevel="0" collapsed="false">
      <c r="A479" s="4" t="s">
        <v>303</v>
      </c>
      <c r="B479" s="4" t="n">
        <v>169</v>
      </c>
      <c r="C479" s="24" t="n">
        <f aca="true">RAND()</f>
        <v>0.0739851711700342</v>
      </c>
      <c r="D479" s="25" t="n">
        <f aca="false">IF(C479&lt;(($C$7-$B$7)/($D$7-$B$7)),$B$7+SQRT(C479*($D$7-$B$7)*($C$7-$B$7)),$D$7-SQRT((1-C479)*($D$7-$B$7)*($D$7-$C$7)))</f>
        <v>11.6085163330552</v>
      </c>
      <c r="E479" s="26" t="n">
        <f aca="true">MAX(0,$E$7+$F$7*_xlfn.NORM.S.INV(RAND()))</f>
        <v>4.03625560652061</v>
      </c>
      <c r="F479" s="27" t="n">
        <f aca="false">1/(1+EXP(-03_Inputs_Assumptions!$B$14*(E479-03_Inputs_Assumptions!$B$5)))</f>
        <v>0.0141898607958093</v>
      </c>
      <c r="G479" s="28" t="n">
        <f aca="false">D479*04_Baseline_PnL!$B$15*F479*04_Baseline_PnL!$B$14</f>
        <v>47102.5406467614</v>
      </c>
      <c r="H479" s="28" t="n">
        <f aca="false">D479*03_Inputs_Assumptions!$B$13*01_Macro_Data!$B$97*($G$7-1)+D479*04_Baseline_PnL!$B$15*04_Baseline_PnL!$B$13*03_Inputs_Assumptions!$B$15*($H$7-1)</f>
        <v>118183.983083568</v>
      </c>
      <c r="I479" s="16" t="n">
        <f aca="false">G479+H479</f>
        <v>165286.52373033</v>
      </c>
    </row>
    <row r="480" customFormat="false" ht="15" hidden="false" customHeight="true" outlineLevel="0" collapsed="false">
      <c r="A480" s="4" t="s">
        <v>303</v>
      </c>
      <c r="B480" s="4" t="n">
        <v>170</v>
      </c>
      <c r="C480" s="24" t="n">
        <f aca="true">RAND()</f>
        <v>0.547079551823488</v>
      </c>
      <c r="D480" s="25" t="n">
        <f aca="false">IF(C480&lt;(($C$7-$B$7)/($D$7-$B$7)),$B$7+SQRT(C480*($D$7-$B$7)*($C$7-$B$7)),$D$7-SQRT((1-C480)*($D$7-$B$7)*($D$7-$C$7)))</f>
        <v>18.1890094387318</v>
      </c>
      <c r="E480" s="26" t="n">
        <f aca="true">MAX(0,$E$7+$F$7*_xlfn.NORM.S.INV(RAND()))</f>
        <v>3.54144949486152</v>
      </c>
      <c r="F480" s="27" t="n">
        <f aca="false">1/(1+EXP(-03_Inputs_Assumptions!$B$14*(E480-03_Inputs_Assumptions!$B$5)))</f>
        <v>0.0125595156780696</v>
      </c>
      <c r="G480" s="28" t="n">
        <f aca="false">D480*04_Baseline_PnL!$B$15*F480*04_Baseline_PnL!$B$14</f>
        <v>65323.7972166039</v>
      </c>
      <c r="H480" s="28" t="n">
        <f aca="false">D480*03_Inputs_Assumptions!$B$13*01_Macro_Data!$B$97*($G$7-1)+D480*04_Baseline_PnL!$B$15*04_Baseline_PnL!$B$13*03_Inputs_Assumptions!$B$15*($H$7-1)</f>
        <v>185178.667293841</v>
      </c>
      <c r="I480" s="16" t="n">
        <f aca="false">G480+H480</f>
        <v>250502.464510445</v>
      </c>
    </row>
    <row r="481" customFormat="false" ht="15" hidden="false" customHeight="true" outlineLevel="0" collapsed="false">
      <c r="A481" s="4" t="s">
        <v>303</v>
      </c>
      <c r="B481" s="4" t="n">
        <v>171</v>
      </c>
      <c r="C481" s="24" t="n">
        <f aca="true">RAND()</f>
        <v>0.911394696540033</v>
      </c>
      <c r="D481" s="25" t="n">
        <f aca="false">IF(C481&lt;(($C$7-$B$7)/($D$7-$B$7)),$B$7+SQRT(C481*($D$7-$B$7)*($C$7-$B$7)),$D$7-SQRT((1-C481)*($D$7-$B$7)*($D$7-$C$7)))</f>
        <v>24.7759753574787</v>
      </c>
      <c r="E481" s="26" t="n">
        <f aca="true">MAX(0,$E$7+$F$7*_xlfn.NORM.S.INV(RAND()))</f>
        <v>2.22683520840453</v>
      </c>
      <c r="F481" s="27" t="n">
        <f aca="false">1/(1+EXP(-03_Inputs_Assumptions!$B$14*(E481-03_Inputs_Assumptions!$B$5)))</f>
        <v>0.0090734198794815</v>
      </c>
      <c r="G481" s="28" t="n">
        <f aca="false">D481*04_Baseline_PnL!$B$15*F481*04_Baseline_PnL!$B$14</f>
        <v>64282.2767632406</v>
      </c>
      <c r="H481" s="28" t="n">
        <f aca="false">D481*03_Inputs_Assumptions!$B$13*01_Macro_Data!$B$97*($G$7-1)+D481*04_Baseline_PnL!$B$15*04_Baseline_PnL!$B$13*03_Inputs_Assumptions!$B$15*($H$7-1)</f>
        <v>252239.249919419</v>
      </c>
      <c r="I481" s="16" t="n">
        <f aca="false">G481+H481</f>
        <v>316521.52668266</v>
      </c>
    </row>
    <row r="482" customFormat="false" ht="15" hidden="false" customHeight="true" outlineLevel="0" collapsed="false">
      <c r="A482" s="4" t="s">
        <v>303</v>
      </c>
      <c r="B482" s="4" t="n">
        <v>172</v>
      </c>
      <c r="C482" s="24" t="n">
        <f aca="true">RAND()</f>
        <v>0.620488652358191</v>
      </c>
      <c r="D482" s="25" t="n">
        <f aca="false">IF(C482&lt;(($C$7-$B$7)/($D$7-$B$7)),$B$7+SQRT(C482*($D$7-$B$7)*($C$7-$B$7)),$D$7-SQRT((1-C482)*($D$7-$B$7)*($D$7-$C$7)))</f>
        <v>19.1884554723353</v>
      </c>
      <c r="E482" s="26" t="n">
        <f aca="true">MAX(0,$E$7+$F$7*_xlfn.NORM.S.INV(RAND()))</f>
        <v>6.53236904967648</v>
      </c>
      <c r="F482" s="27" t="n">
        <f aca="false">1/(1+EXP(-03_Inputs_Assumptions!$B$14*(E482-03_Inputs_Assumptions!$B$5)))</f>
        <v>0.0261627452675607</v>
      </c>
      <c r="G482" s="28" t="n">
        <f aca="false">D482*04_Baseline_PnL!$B$15*F482*04_Baseline_PnL!$B$14</f>
        <v>143553.178414557</v>
      </c>
      <c r="H482" s="28" t="n">
        <f aca="false">D482*03_Inputs_Assumptions!$B$13*01_Macro_Data!$B$97*($G$7-1)+D482*04_Baseline_PnL!$B$15*04_Baseline_PnL!$B$13*03_Inputs_Assumptions!$B$15*($H$7-1)</f>
        <v>195353.827472751</v>
      </c>
      <c r="I482" s="16" t="n">
        <f aca="false">G482+H482</f>
        <v>338907.005887308</v>
      </c>
    </row>
    <row r="483" customFormat="false" ht="15" hidden="false" customHeight="true" outlineLevel="0" collapsed="false">
      <c r="A483" s="4" t="s">
        <v>303</v>
      </c>
      <c r="B483" s="4" t="n">
        <v>173</v>
      </c>
      <c r="C483" s="24" t="n">
        <f aca="true">RAND()</f>
        <v>0.347840842572258</v>
      </c>
      <c r="D483" s="25" t="n">
        <f aca="false">IF(C483&lt;(($C$7-$B$7)/($D$7-$B$7)),$B$7+SQRT(C483*($D$7-$B$7)*($C$7-$B$7)),$D$7-SQRT((1-C483)*($D$7-$B$7)*($D$7-$C$7)))</f>
        <v>15.8243203086733</v>
      </c>
      <c r="E483" s="26" t="n">
        <f aca="true">MAX(0,$E$7+$F$7*_xlfn.NORM.S.INV(RAND()))</f>
        <v>3.37211711927974</v>
      </c>
      <c r="F483" s="27" t="n">
        <f aca="false">1/(1+EXP(-03_Inputs_Assumptions!$B$14*(E483-03_Inputs_Assumptions!$B$5)))</f>
        <v>0.0120451998477295</v>
      </c>
      <c r="G483" s="28" t="n">
        <f aca="false">D483*04_Baseline_PnL!$B$15*F483*04_Baseline_PnL!$B$14</f>
        <v>54504.022644662</v>
      </c>
      <c r="H483" s="28" t="n">
        <f aca="false">D483*03_Inputs_Assumptions!$B$13*01_Macro_Data!$B$97*($G$7-1)+D483*04_Baseline_PnL!$B$15*04_Baseline_PnL!$B$13*03_Inputs_Assumptions!$B$15*($H$7-1)</f>
        <v>161104.240198541</v>
      </c>
      <c r="I483" s="16" t="n">
        <f aca="false">G483+H483</f>
        <v>215608.262843203</v>
      </c>
    </row>
    <row r="484" customFormat="false" ht="15" hidden="false" customHeight="true" outlineLevel="0" collapsed="false">
      <c r="A484" s="4" t="s">
        <v>303</v>
      </c>
      <c r="B484" s="4" t="n">
        <v>174</v>
      </c>
      <c r="C484" s="24" t="n">
        <f aca="true">RAND()</f>
        <v>0.378777784646944</v>
      </c>
      <c r="D484" s="25" t="n">
        <f aca="false">IF(C484&lt;(($C$7-$B$7)/($D$7-$B$7)),$B$7+SQRT(C484*($D$7-$B$7)*($C$7-$B$7)),$D$7-SQRT((1-C484)*($D$7-$B$7)*($D$7-$C$7)))</f>
        <v>16.1675583381407</v>
      </c>
      <c r="E484" s="26" t="n">
        <f aca="true">MAX(0,$E$7+$F$7*_xlfn.NORM.S.INV(RAND()))</f>
        <v>5.8016854256714</v>
      </c>
      <c r="F484" s="27" t="n">
        <f aca="false">1/(1+EXP(-03_Inputs_Assumptions!$B$14*(E484-03_Inputs_Assumptions!$B$5)))</f>
        <v>0.0218902908258224</v>
      </c>
      <c r="G484" s="28" t="n">
        <f aca="false">D484*04_Baseline_PnL!$B$15*F484*04_Baseline_PnL!$B$14</f>
        <v>101201.150416876</v>
      </c>
      <c r="H484" s="28" t="n">
        <f aca="false">D484*03_Inputs_Assumptions!$B$13*01_Macro_Data!$B$97*($G$7-1)+D484*04_Baseline_PnL!$B$15*04_Baseline_PnL!$B$13*03_Inputs_Assumptions!$B$15*($H$7-1)</f>
        <v>164598.677928943</v>
      </c>
      <c r="I484" s="16" t="n">
        <f aca="false">G484+H484</f>
        <v>265799.828345818</v>
      </c>
    </row>
    <row r="485" customFormat="false" ht="15" hidden="false" customHeight="true" outlineLevel="0" collapsed="false">
      <c r="A485" s="4" t="s">
        <v>303</v>
      </c>
      <c r="B485" s="4" t="n">
        <v>175</v>
      </c>
      <c r="C485" s="24" t="n">
        <f aca="true">RAND()</f>
        <v>0.0147719005275069</v>
      </c>
      <c r="D485" s="25" t="n">
        <f aca="false">IF(C485&lt;(($C$7-$B$7)/($D$7-$B$7)),$B$7+SQRT(C485*($D$7-$B$7)*($C$7-$B$7)),$D$7-SQRT((1-C485)*($D$7-$B$7)*($D$7-$C$7)))</f>
        <v>9.61240642917387</v>
      </c>
      <c r="E485" s="26" t="n">
        <f aca="true">MAX(0,$E$7+$F$7*_xlfn.NORM.S.INV(RAND()))</f>
        <v>1.0273428733499</v>
      </c>
      <c r="F485" s="27" t="n">
        <f aca="false">1/(1+EXP(-03_Inputs_Assumptions!$B$14*(E485-03_Inputs_Assumptions!$B$5)))</f>
        <v>0.00673844875045124</v>
      </c>
      <c r="G485" s="28" t="n">
        <f aca="false">D485*04_Baseline_PnL!$B$15*F485*04_Baseline_PnL!$B$14</f>
        <v>18521.729452744</v>
      </c>
      <c r="H485" s="28" t="n">
        <f aca="false">D485*03_Inputs_Assumptions!$B$13*01_Macro_Data!$B$97*($G$7-1)+D485*04_Baseline_PnL!$B$15*04_Baseline_PnL!$B$13*03_Inputs_Assumptions!$B$15*($H$7-1)</f>
        <v>97861.9873741334</v>
      </c>
      <c r="I485" s="16" t="n">
        <f aca="false">G485+H485</f>
        <v>116383.716826877</v>
      </c>
    </row>
    <row r="486" customFormat="false" ht="15" hidden="false" customHeight="true" outlineLevel="0" collapsed="false">
      <c r="A486" s="4" t="s">
        <v>303</v>
      </c>
      <c r="B486" s="4" t="n">
        <v>176</v>
      </c>
      <c r="C486" s="24" t="n">
        <f aca="true">RAND()</f>
        <v>0.355888161961996</v>
      </c>
      <c r="D486" s="25" t="n">
        <f aca="false">IF(C486&lt;(($C$7-$B$7)/($D$7-$B$7)),$B$7+SQRT(C486*($D$7-$B$7)*($C$7-$B$7)),$D$7-SQRT((1-C486)*($D$7-$B$7)*($D$7-$C$7)))</f>
        <v>15.9143108673662</v>
      </c>
      <c r="E486" s="26" t="n">
        <f aca="true">MAX(0,$E$7+$F$7*_xlfn.NORM.S.INV(RAND()))</f>
        <v>2.41439735879567</v>
      </c>
      <c r="F486" s="27" t="n">
        <f aca="false">1/(1+EXP(-03_Inputs_Assumptions!$B$14*(E486-03_Inputs_Assumptions!$B$5)))</f>
        <v>0.00950486990850907</v>
      </c>
      <c r="G486" s="28" t="n">
        <f aca="false">D486*04_Baseline_PnL!$B$15*F486*04_Baseline_PnL!$B$14</f>
        <v>43253.7230953716</v>
      </c>
      <c r="H486" s="28" t="n">
        <f aca="false">D486*03_Inputs_Assumptions!$B$13*01_Macro_Data!$B$97*($G$7-1)+D486*04_Baseline_PnL!$B$15*04_Baseline_PnL!$B$13*03_Inputs_Assumptions!$B$15*($H$7-1)</f>
        <v>162020.416078482</v>
      </c>
      <c r="I486" s="16" t="n">
        <f aca="false">G486+H486</f>
        <v>205274.139173854</v>
      </c>
    </row>
    <row r="487" customFormat="false" ht="15" hidden="false" customHeight="true" outlineLevel="0" collapsed="false">
      <c r="A487" s="4" t="s">
        <v>303</v>
      </c>
      <c r="B487" s="4" t="n">
        <v>177</v>
      </c>
      <c r="C487" s="24" t="n">
        <f aca="true">RAND()</f>
        <v>0.178016290174421</v>
      </c>
      <c r="D487" s="25" t="n">
        <f aca="false">IF(C487&lt;(($C$7-$B$7)/($D$7-$B$7)),$B$7+SQRT(C487*($D$7-$B$7)*($C$7-$B$7)),$D$7-SQRT((1-C487)*($D$7-$B$7)*($D$7-$C$7)))</f>
        <v>13.5973982412098</v>
      </c>
      <c r="E487" s="26" t="n">
        <f aca="true">MAX(0,$E$7+$F$7*_xlfn.NORM.S.INV(RAND()))</f>
        <v>2.6719451479536</v>
      </c>
      <c r="F487" s="27" t="n">
        <f aca="false">1/(1+EXP(-03_Inputs_Assumptions!$B$14*(E487-03_Inputs_Assumptions!$B$5)))</f>
        <v>0.0101305875222693</v>
      </c>
      <c r="G487" s="28" t="n">
        <f aca="false">D487*04_Baseline_PnL!$B$15*F487*04_Baseline_PnL!$B$14</f>
        <v>39389.4513450607</v>
      </c>
      <c r="H487" s="28" t="n">
        <f aca="false">D487*03_Inputs_Assumptions!$B$13*01_Macro_Data!$B$97*($G$7-1)+D487*04_Baseline_PnL!$B$15*04_Baseline_PnL!$B$13*03_Inputs_Assumptions!$B$15*($H$7-1)</f>
        <v>138432.392014108</v>
      </c>
      <c r="I487" s="16" t="n">
        <f aca="false">G487+H487</f>
        <v>177821.843359169</v>
      </c>
    </row>
    <row r="488" customFormat="false" ht="15" hidden="false" customHeight="true" outlineLevel="0" collapsed="false">
      <c r="A488" s="4" t="s">
        <v>303</v>
      </c>
      <c r="B488" s="4" t="n">
        <v>178</v>
      </c>
      <c r="C488" s="24" t="n">
        <f aca="true">RAND()</f>
        <v>0.701675464015611</v>
      </c>
      <c r="D488" s="25" t="n">
        <f aca="false">IF(C488&lt;(($C$7-$B$7)/($D$7-$B$7)),$B$7+SQRT(C488*($D$7-$B$7)*($C$7-$B$7)),$D$7-SQRT((1-C488)*($D$7-$B$7)*($D$7-$C$7)))</f>
        <v>20.4143880172838</v>
      </c>
      <c r="E488" s="26" t="n">
        <f aca="true">MAX(0,$E$7+$F$7*_xlfn.NORM.S.INV(RAND()))</f>
        <v>3.69545839749302</v>
      </c>
      <c r="F488" s="27" t="n">
        <f aca="false">1/(1+EXP(-03_Inputs_Assumptions!$B$14*(E488-03_Inputs_Assumptions!$B$5)))</f>
        <v>0.0130460831582463</v>
      </c>
      <c r="G488" s="28" t="n">
        <f aca="false">D488*04_Baseline_PnL!$B$15*F488*04_Baseline_PnL!$B$14</f>
        <v>76156.3268108754</v>
      </c>
      <c r="H488" s="28" t="n">
        <f aca="false">D488*03_Inputs_Assumptions!$B$13*01_Macro_Data!$B$97*($G$7-1)+D488*04_Baseline_PnL!$B$15*04_Baseline_PnL!$B$13*03_Inputs_Assumptions!$B$15*($H$7-1)</f>
        <v>207834.801526363</v>
      </c>
      <c r="I488" s="16" t="n">
        <f aca="false">G488+H488</f>
        <v>283991.128337239</v>
      </c>
    </row>
    <row r="489" customFormat="false" ht="15" hidden="false" customHeight="true" outlineLevel="0" collapsed="false">
      <c r="A489" s="4" t="s">
        <v>303</v>
      </c>
      <c r="B489" s="4" t="n">
        <v>179</v>
      </c>
      <c r="C489" s="24" t="n">
        <f aca="true">RAND()</f>
        <v>0.453783083115438</v>
      </c>
      <c r="D489" s="25" t="n">
        <f aca="false">IF(C489&lt;(($C$7-$B$7)/($D$7-$B$7)),$B$7+SQRT(C489*($D$7-$B$7)*($C$7-$B$7)),$D$7-SQRT((1-C489)*($D$7-$B$7)*($D$7-$C$7)))</f>
        <v>17.029463758177</v>
      </c>
      <c r="E489" s="26" t="n">
        <f aca="true">MAX(0,$E$7+$F$7*_xlfn.NORM.S.INV(RAND()))</f>
        <v>4.76764547552826</v>
      </c>
      <c r="F489" s="27" t="n">
        <f aca="false">1/(1+EXP(-03_Inputs_Assumptions!$B$14*(E489-03_Inputs_Assumptions!$B$5)))</f>
        <v>0.0169884255734771</v>
      </c>
      <c r="G489" s="28" t="n">
        <f aca="false">D489*04_Baseline_PnL!$B$15*F489*04_Baseline_PnL!$B$14</f>
        <v>82726.2971777779</v>
      </c>
      <c r="H489" s="28" t="n">
        <f aca="false">D489*03_Inputs_Assumptions!$B$13*01_Macro_Data!$B$97*($G$7-1)+D489*04_Baseline_PnL!$B$15*04_Baseline_PnL!$B$13*03_Inputs_Assumptions!$B$15*($H$7-1)</f>
        <v>173373.564629248</v>
      </c>
      <c r="I489" s="16" t="n">
        <f aca="false">G489+H489</f>
        <v>256099.861807026</v>
      </c>
    </row>
    <row r="490" customFormat="false" ht="15" hidden="false" customHeight="true" outlineLevel="0" collapsed="false">
      <c r="A490" s="4" t="s">
        <v>303</v>
      </c>
      <c r="B490" s="4" t="n">
        <v>180</v>
      </c>
      <c r="C490" s="24" t="n">
        <f aca="true">RAND()</f>
        <v>0.464147481910608</v>
      </c>
      <c r="D490" s="25" t="n">
        <f aca="false">IF(C490&lt;(($C$7-$B$7)/($D$7-$B$7)),$B$7+SQRT(C490*($D$7-$B$7)*($C$7-$B$7)),$D$7-SQRT((1-C490)*($D$7-$B$7)*($D$7-$C$7)))</f>
        <v>17.1531102763535</v>
      </c>
      <c r="E490" s="26" t="n">
        <f aca="true">MAX(0,$E$7+$F$7*_xlfn.NORM.S.INV(RAND()))</f>
        <v>4.67572987950876</v>
      </c>
      <c r="F490" s="27" t="n">
        <f aca="false">1/(1+EXP(-03_Inputs_Assumptions!$B$14*(E490-03_Inputs_Assumptions!$B$5)))</f>
        <v>0.0166089110789287</v>
      </c>
      <c r="G490" s="28" t="n">
        <f aca="false">D490*04_Baseline_PnL!$B$15*F490*04_Baseline_PnL!$B$14</f>
        <v>81465.4612701705</v>
      </c>
      <c r="H490" s="28" t="n">
        <f aca="false">D490*03_Inputs_Assumptions!$B$13*01_Macro_Data!$B$97*($G$7-1)+D490*04_Baseline_PnL!$B$15*04_Baseline_PnL!$B$13*03_Inputs_Assumptions!$B$15*($H$7-1)</f>
        <v>174632.3851015</v>
      </c>
      <c r="I490" s="16" t="n">
        <f aca="false">G490+H490</f>
        <v>256097.846371671</v>
      </c>
    </row>
    <row r="491" customFormat="false" ht="15" hidden="false" customHeight="true" outlineLevel="0" collapsed="false">
      <c r="A491" s="4" t="s">
        <v>303</v>
      </c>
      <c r="B491" s="4" t="n">
        <v>181</v>
      </c>
      <c r="C491" s="24" t="n">
        <f aca="true">RAND()</f>
        <v>0.61978942319646</v>
      </c>
      <c r="D491" s="25" t="n">
        <f aca="false">IF(C491&lt;(($C$7-$B$7)/($D$7-$B$7)),$B$7+SQRT(C491*($D$7-$B$7)*($C$7-$B$7)),$D$7-SQRT((1-C491)*($D$7-$B$7)*($D$7-$C$7)))</f>
        <v>19.1785002122862</v>
      </c>
      <c r="E491" s="26" t="n">
        <f aca="true">MAX(0,$E$7+$F$7*_xlfn.NORM.S.INV(RAND()))</f>
        <v>2.2242290743089</v>
      </c>
      <c r="F491" s="27" t="n">
        <f aca="false">1/(1+EXP(-03_Inputs_Assumptions!$B$14*(E491-03_Inputs_Assumptions!$B$5)))</f>
        <v>0.00906756375433908</v>
      </c>
      <c r="G491" s="28" t="n">
        <f aca="false">D491*04_Baseline_PnL!$B$15*F491*04_Baseline_PnL!$B$14</f>
        <v>49727.2841263754</v>
      </c>
      <c r="H491" s="28" t="n">
        <f aca="false">D491*03_Inputs_Assumptions!$B$13*01_Macro_Data!$B$97*($G$7-1)+D491*04_Baseline_PnL!$B$15*04_Baseline_PnL!$B$13*03_Inputs_Assumptions!$B$15*($H$7-1)</f>
        <v>195252.474961243</v>
      </c>
      <c r="I491" s="16" t="n">
        <f aca="false">G491+H491</f>
        <v>244979.759087619</v>
      </c>
    </row>
    <row r="492" customFormat="false" ht="15" hidden="false" customHeight="true" outlineLevel="0" collapsed="false">
      <c r="A492" s="4" t="s">
        <v>303</v>
      </c>
      <c r="B492" s="4" t="n">
        <v>182</v>
      </c>
      <c r="C492" s="24" t="n">
        <f aca="true">RAND()</f>
        <v>0.642482267892529</v>
      </c>
      <c r="D492" s="25" t="n">
        <f aca="false">IF(C492&lt;(($C$7-$B$7)/($D$7-$B$7)),$B$7+SQRT(C492*($D$7-$B$7)*($C$7-$B$7)),$D$7-SQRT((1-C492)*($D$7-$B$7)*($D$7-$C$7)))</f>
        <v>19.5064085514491</v>
      </c>
      <c r="E492" s="26" t="n">
        <f aca="true">MAX(0,$E$7+$F$7*_xlfn.NORM.S.INV(RAND()))</f>
        <v>3.41837169016557</v>
      </c>
      <c r="F492" s="27" t="n">
        <f aca="false">1/(1+EXP(-03_Inputs_Assumptions!$B$14*(E492-03_Inputs_Assumptions!$B$5)))</f>
        <v>0.0121835878198005</v>
      </c>
      <c r="G492" s="28" t="n">
        <f aca="false">D492*04_Baseline_PnL!$B$15*F492*04_Baseline_PnL!$B$14</f>
        <v>67958.2200457572</v>
      </c>
      <c r="H492" s="28" t="n">
        <f aca="false">D492*03_Inputs_Assumptions!$B$13*01_Macro_Data!$B$97*($G$7-1)+D492*04_Baseline_PnL!$B$15*04_Baseline_PnL!$B$13*03_Inputs_Assumptions!$B$15*($H$7-1)</f>
        <v>198590.844180593</v>
      </c>
      <c r="I492" s="16" t="n">
        <f aca="false">G492+H492</f>
        <v>266549.06422635</v>
      </c>
    </row>
    <row r="493" customFormat="false" ht="15" hidden="false" customHeight="true" outlineLevel="0" collapsed="false">
      <c r="A493" s="4" t="s">
        <v>303</v>
      </c>
      <c r="B493" s="4" t="n">
        <v>183</v>
      </c>
      <c r="C493" s="24" t="n">
        <f aca="true">RAND()</f>
        <v>0.989120597043193</v>
      </c>
      <c r="D493" s="25" t="n">
        <f aca="false">IF(C493&lt;(($C$7-$B$7)/($D$7-$B$7)),$B$7+SQRT(C493*($D$7-$B$7)*($C$7-$B$7)),$D$7-SQRT((1-C493)*($D$7-$B$7)*($D$7-$C$7)))</f>
        <v>28.1694656215475</v>
      </c>
      <c r="E493" s="26" t="n">
        <f aca="true">MAX(0,$E$7+$F$7*_xlfn.NORM.S.INV(RAND()))</f>
        <v>5.01486442700267</v>
      </c>
      <c r="F493" s="27" t="n">
        <f aca="false">1/(1+EXP(-03_Inputs_Assumptions!$B$14*(E493-03_Inputs_Assumptions!$B$5)))</f>
        <v>0.0180519641681171</v>
      </c>
      <c r="G493" s="28" t="n">
        <f aca="false">D493*04_Baseline_PnL!$B$15*F493*04_Baseline_PnL!$B$14</f>
        <v>145409.423460852</v>
      </c>
      <c r="H493" s="28" t="n">
        <f aca="false">D493*03_Inputs_Assumptions!$B$13*01_Macro_Data!$B$97*($G$7-1)+D493*04_Baseline_PnL!$B$15*04_Baseline_PnL!$B$13*03_Inputs_Assumptions!$B$15*($H$7-1)</f>
        <v>286787.695599851</v>
      </c>
      <c r="I493" s="16" t="n">
        <f aca="false">G493+H493</f>
        <v>432197.119060704</v>
      </c>
    </row>
    <row r="494" customFormat="false" ht="15" hidden="false" customHeight="true" outlineLevel="0" collapsed="false">
      <c r="A494" s="4" t="s">
        <v>303</v>
      </c>
      <c r="B494" s="4" t="n">
        <v>184</v>
      </c>
      <c r="C494" s="24" t="n">
        <f aca="true">RAND()</f>
        <v>0.128756918782216</v>
      </c>
      <c r="D494" s="25" t="n">
        <f aca="false">IF(C494&lt;(($C$7-$B$7)/($D$7-$B$7)),$B$7+SQRT(C494*($D$7-$B$7)*($C$7-$B$7)),$D$7-SQRT((1-C494)*($D$7-$B$7)*($D$7-$C$7)))</f>
        <v>12.7603799959321</v>
      </c>
      <c r="E494" s="26" t="n">
        <f aca="true">MAX(0,$E$7+$F$7*_xlfn.NORM.S.INV(RAND()))</f>
        <v>2.93349661721616</v>
      </c>
      <c r="F494" s="27" t="n">
        <f aca="false">1/(1+EXP(-03_Inputs_Assumptions!$B$14*(E494-03_Inputs_Assumptions!$B$5)))</f>
        <v>0.01080774343502</v>
      </c>
      <c r="G494" s="28" t="n">
        <f aca="false">D494*04_Baseline_PnL!$B$15*F494*04_Baseline_PnL!$B$14</f>
        <v>39435.56934435</v>
      </c>
      <c r="H494" s="28" t="n">
        <f aca="false">D494*03_Inputs_Assumptions!$B$13*01_Macro_Data!$B$97*($G$7-1)+D494*04_Baseline_PnL!$B$15*04_Baseline_PnL!$B$13*03_Inputs_Assumptions!$B$15*($H$7-1)</f>
        <v>129910.876662585</v>
      </c>
      <c r="I494" s="16" t="n">
        <f aca="false">G494+H494</f>
        <v>169346.446006935</v>
      </c>
    </row>
    <row r="495" customFormat="false" ht="15" hidden="false" customHeight="true" outlineLevel="0" collapsed="false">
      <c r="A495" s="4" t="s">
        <v>303</v>
      </c>
      <c r="B495" s="4" t="n">
        <v>185</v>
      </c>
      <c r="C495" s="24" t="n">
        <f aca="true">RAND()</f>
        <v>0.509744719611819</v>
      </c>
      <c r="D495" s="25" t="n">
        <f aca="false">IF(C495&lt;(($C$7-$B$7)/($D$7-$B$7)),$B$7+SQRT(C495*($D$7-$B$7)*($C$7-$B$7)),$D$7-SQRT((1-C495)*($D$7-$B$7)*($D$7-$C$7)))</f>
        <v>17.7118501653194</v>
      </c>
      <c r="E495" s="26" t="n">
        <f aca="true">MAX(0,$E$7+$F$7*_xlfn.NORM.S.INV(RAND()))</f>
        <v>0.0578588430554969</v>
      </c>
      <c r="F495" s="27" t="n">
        <f aca="false">1/(1+EXP(-03_Inputs_Assumptions!$B$14*(E495-03_Inputs_Assumptions!$B$5)))</f>
        <v>0.00529577926468776</v>
      </c>
      <c r="G495" s="28" t="n">
        <f aca="false">D495*04_Baseline_PnL!$B$15*F495*04_Baseline_PnL!$B$14</f>
        <v>26821.5137993576</v>
      </c>
      <c r="H495" s="28" t="n">
        <f aca="false">D495*03_Inputs_Assumptions!$B$13*01_Macro_Data!$B$97*($G$7-1)+D495*04_Baseline_PnL!$B$15*04_Baseline_PnL!$B$13*03_Inputs_Assumptions!$B$15*($H$7-1)</f>
        <v>180320.804163084</v>
      </c>
      <c r="I495" s="16" t="n">
        <f aca="false">G495+H495</f>
        <v>207142.317962442</v>
      </c>
    </row>
    <row r="496" customFormat="false" ht="15" hidden="false" customHeight="true" outlineLevel="0" collapsed="false">
      <c r="A496" s="4" t="s">
        <v>303</v>
      </c>
      <c r="B496" s="4" t="n">
        <v>186</v>
      </c>
      <c r="C496" s="24" t="n">
        <f aca="true">RAND()</f>
        <v>0.154265751735576</v>
      </c>
      <c r="D496" s="25" t="n">
        <f aca="false">IF(C496&lt;(($C$7-$B$7)/($D$7-$B$7)),$B$7+SQRT(C496*($D$7-$B$7)*($C$7-$B$7)),$D$7-SQRT((1-C496)*($D$7-$B$7)*($D$7-$C$7)))</f>
        <v>13.2106402970711</v>
      </c>
      <c r="E496" s="26" t="n">
        <f aca="true">MAX(0,$E$7+$F$7*_xlfn.NORM.S.INV(RAND()))</f>
        <v>7.44759594102336</v>
      </c>
      <c r="F496" s="27" t="n">
        <f aca="false">1/(1+EXP(-03_Inputs_Assumptions!$B$14*(E496-03_Inputs_Assumptions!$B$5)))</f>
        <v>0.0326694140445799</v>
      </c>
      <c r="G496" s="28" t="n">
        <f aca="false">D496*04_Baseline_PnL!$B$15*F496*04_Baseline_PnL!$B$14</f>
        <v>123411.233738677</v>
      </c>
      <c r="H496" s="28" t="n">
        <f aca="false">D496*03_Inputs_Assumptions!$B$13*01_Macro_Data!$B$97*($G$7-1)+D496*04_Baseline_PnL!$B$15*04_Baseline_PnL!$B$13*03_Inputs_Assumptions!$B$15*($H$7-1)</f>
        <v>134494.886736422</v>
      </c>
      <c r="I496" s="16" t="n">
        <f aca="false">G496+H496</f>
        <v>257906.120475098</v>
      </c>
    </row>
    <row r="497" customFormat="false" ht="15" hidden="false" customHeight="true" outlineLevel="0" collapsed="false">
      <c r="A497" s="4" t="s">
        <v>303</v>
      </c>
      <c r="B497" s="4" t="n">
        <v>187</v>
      </c>
      <c r="C497" s="24" t="n">
        <f aca="true">RAND()</f>
        <v>0.818393663187308</v>
      </c>
      <c r="D497" s="25" t="n">
        <f aca="false">IF(C497&lt;(($C$7-$B$7)/($D$7-$B$7)),$B$7+SQRT(C497*($D$7-$B$7)*($C$7-$B$7)),$D$7-SQRT((1-C497)*($D$7-$B$7)*($D$7-$C$7)))</f>
        <v>22.5210460799448</v>
      </c>
      <c r="E497" s="26" t="n">
        <f aca="true">MAX(0,$E$7+$F$7*_xlfn.NORM.S.INV(RAND()))</f>
        <v>5.2402503323671</v>
      </c>
      <c r="F497" s="27" t="n">
        <f aca="false">1/(1+EXP(-03_Inputs_Assumptions!$B$14*(E497-03_Inputs_Assumptions!$B$5)))</f>
        <v>0.0190783684840411</v>
      </c>
      <c r="G497" s="28" t="n">
        <f aca="false">D497*04_Baseline_PnL!$B$15*F497*04_Baseline_PnL!$B$14</f>
        <v>122862.478771377</v>
      </c>
      <c r="H497" s="28" t="n">
        <f aca="false">D497*03_Inputs_Assumptions!$B$13*01_Macro_Data!$B$97*($G$7-1)+D497*04_Baseline_PnL!$B$15*04_Baseline_PnL!$B$13*03_Inputs_Assumptions!$B$15*($H$7-1)</f>
        <v>229282.265930702</v>
      </c>
      <c r="I497" s="16" t="n">
        <f aca="false">G497+H497</f>
        <v>352144.74470208</v>
      </c>
    </row>
    <row r="498" customFormat="false" ht="15" hidden="false" customHeight="true" outlineLevel="0" collapsed="false">
      <c r="A498" s="4" t="s">
        <v>303</v>
      </c>
      <c r="B498" s="4" t="n">
        <v>188</v>
      </c>
      <c r="C498" s="24" t="n">
        <f aca="true">RAND()</f>
        <v>0.125652138147971</v>
      </c>
      <c r="D498" s="25" t="n">
        <f aca="false">IF(C498&lt;(($C$7-$B$7)/($D$7-$B$7)),$B$7+SQRT(C498*($D$7-$B$7)*($C$7-$B$7)),$D$7-SQRT((1-C498)*($D$7-$B$7)*($D$7-$C$7)))</f>
        <v>12.7026350394266</v>
      </c>
      <c r="E498" s="26" t="n">
        <f aca="true">MAX(0,$E$7+$F$7*_xlfn.NORM.S.INV(RAND()))</f>
        <v>3.03525839062184</v>
      </c>
      <c r="F498" s="27" t="n">
        <f aca="false">1/(1+EXP(-03_Inputs_Assumptions!$B$14*(E498-03_Inputs_Assumptions!$B$5)))</f>
        <v>0.0110831380968542</v>
      </c>
      <c r="G498" s="28" t="n">
        <f aca="false">D498*04_Baseline_PnL!$B$15*F498*04_Baseline_PnL!$B$14</f>
        <v>40257.4299935556</v>
      </c>
      <c r="H498" s="28" t="n">
        <f aca="false">D498*03_Inputs_Assumptions!$B$13*01_Macro_Data!$B$97*($G$7-1)+D498*04_Baseline_PnL!$B$15*04_Baseline_PnL!$B$13*03_Inputs_Assumptions!$B$15*($H$7-1)</f>
        <v>129322.986809395</v>
      </c>
      <c r="I498" s="16" t="n">
        <f aca="false">G498+H498</f>
        <v>169580.41680295</v>
      </c>
    </row>
    <row r="499" customFormat="false" ht="15" hidden="false" customHeight="true" outlineLevel="0" collapsed="false">
      <c r="A499" s="4" t="s">
        <v>303</v>
      </c>
      <c r="B499" s="4" t="n">
        <v>189</v>
      </c>
      <c r="C499" s="24" t="n">
        <f aca="true">RAND()</f>
        <v>0.68816322877945</v>
      </c>
      <c r="D499" s="25" t="n">
        <f aca="false">IF(C499&lt;(($C$7-$B$7)/($D$7-$B$7)),$B$7+SQRT(C499*($D$7-$B$7)*($C$7-$B$7)),$D$7-SQRT((1-C499)*($D$7-$B$7)*($D$7-$C$7)))</f>
        <v>20.1997078851735</v>
      </c>
      <c r="E499" s="26" t="n">
        <f aca="true">MAX(0,$E$7+$F$7*_xlfn.NORM.S.INV(RAND()))</f>
        <v>4.28916711028254</v>
      </c>
      <c r="F499" s="27" t="n">
        <f aca="false">1/(1+EXP(-03_Inputs_Assumptions!$B$14*(E499-03_Inputs_Assumptions!$B$5)))</f>
        <v>0.0151020397833508</v>
      </c>
      <c r="G499" s="28" t="n">
        <f aca="false">D499*04_Baseline_PnL!$B$15*F499*04_Baseline_PnL!$B$14</f>
        <v>87230.8652419622</v>
      </c>
      <c r="H499" s="28" t="n">
        <f aca="false">D499*03_Inputs_Assumptions!$B$13*01_Macro_Data!$B$97*($G$7-1)+D499*04_Baseline_PnL!$B$15*04_Baseline_PnL!$B$13*03_Inputs_Assumptions!$B$15*($H$7-1)</f>
        <v>205649.186037375</v>
      </c>
      <c r="I499" s="16" t="n">
        <f aca="false">G499+H499</f>
        <v>292880.051279337</v>
      </c>
    </row>
    <row r="500" customFormat="false" ht="15" hidden="false" customHeight="true" outlineLevel="0" collapsed="false">
      <c r="A500" s="4" t="s">
        <v>303</v>
      </c>
      <c r="B500" s="4" t="n">
        <v>190</v>
      </c>
      <c r="C500" s="24" t="n">
        <f aca="true">RAND()</f>
        <v>0.5949722933845</v>
      </c>
      <c r="D500" s="25" t="n">
        <f aca="false">IF(C500&lt;(($C$7-$B$7)/($D$7-$B$7)),$B$7+SQRT(C500*($D$7-$B$7)*($C$7-$B$7)),$D$7-SQRT((1-C500)*($D$7-$B$7)*($D$7-$C$7)))</f>
        <v>18.8309116917461</v>
      </c>
      <c r="E500" s="26" t="n">
        <f aca="true">MAX(0,$E$7+$F$7*_xlfn.NORM.S.INV(RAND()))</f>
        <v>4.64479809186188</v>
      </c>
      <c r="F500" s="27" t="n">
        <f aca="false">1/(1+EXP(-03_Inputs_Assumptions!$B$14*(E500-03_Inputs_Assumptions!$B$5)))</f>
        <v>0.0164830794210508</v>
      </c>
      <c r="G500" s="28" t="n">
        <f aca="false">D500*04_Baseline_PnL!$B$15*F500*04_Baseline_PnL!$B$14</f>
        <v>88756.2979095751</v>
      </c>
      <c r="H500" s="28" t="n">
        <f aca="false">D500*03_Inputs_Assumptions!$B$13*01_Macro_Data!$B$97*($G$7-1)+D500*04_Baseline_PnL!$B$15*04_Baseline_PnL!$B$13*03_Inputs_Assumptions!$B$15*($H$7-1)</f>
        <v>191713.745751329</v>
      </c>
      <c r="I500" s="16" t="n">
        <f aca="false">G500+H500</f>
        <v>280470.043660904</v>
      </c>
    </row>
    <row r="501" customFormat="false" ht="15" hidden="false" customHeight="true" outlineLevel="0" collapsed="false">
      <c r="A501" s="4" t="s">
        <v>303</v>
      </c>
      <c r="B501" s="4" t="n">
        <v>191</v>
      </c>
      <c r="C501" s="24" t="n">
        <f aca="true">RAND()</f>
        <v>0.123755625235177</v>
      </c>
      <c r="D501" s="25" t="n">
        <f aca="false">IF(C501&lt;(($C$7-$B$7)/($D$7-$B$7)),$B$7+SQRT(C501*($D$7-$B$7)*($C$7-$B$7)),$D$7-SQRT((1-C501)*($D$7-$B$7)*($D$7-$C$7)))</f>
        <v>12.6670108250776</v>
      </c>
      <c r="E501" s="26" t="n">
        <f aca="true">MAX(0,$E$7+$F$7*_xlfn.NORM.S.INV(RAND()))</f>
        <v>2.08529619158551</v>
      </c>
      <c r="F501" s="27" t="n">
        <f aca="false">1/(1+EXP(-03_Inputs_Assumptions!$B$14*(E501-03_Inputs_Assumptions!$B$5)))</f>
        <v>0.00876073661077727</v>
      </c>
      <c r="G501" s="28" t="n">
        <f aca="false">D501*04_Baseline_PnL!$B$15*F501*04_Baseline_PnL!$B$14</f>
        <v>31732.4969166724</v>
      </c>
      <c r="H501" s="28" t="n">
        <f aca="false">D501*03_Inputs_Assumptions!$B$13*01_Macro_Data!$B$97*($G$7-1)+D501*04_Baseline_PnL!$B$15*04_Baseline_PnL!$B$13*03_Inputs_Assumptions!$B$15*($H$7-1)</f>
        <v>128960.30380795</v>
      </c>
      <c r="I501" s="16" t="n">
        <f aca="false">G501+H501</f>
        <v>160692.800724622</v>
      </c>
    </row>
    <row r="502" customFormat="false" ht="15" hidden="false" customHeight="true" outlineLevel="0" collapsed="false">
      <c r="A502" s="4" t="s">
        <v>303</v>
      </c>
      <c r="B502" s="4" t="n">
        <v>192</v>
      </c>
      <c r="C502" s="24" t="n">
        <f aca="true">RAND()</f>
        <v>0.222831111775229</v>
      </c>
      <c r="D502" s="25" t="n">
        <f aca="false">IF(C502&lt;(($C$7-$B$7)/($D$7-$B$7)),$B$7+SQRT(C502*($D$7-$B$7)*($C$7-$B$7)),$D$7-SQRT((1-C502)*($D$7-$B$7)*($D$7-$C$7)))</f>
        <v>14.2624496542839</v>
      </c>
      <c r="E502" s="26" t="n">
        <f aca="true">MAX(0,$E$7+$F$7*_xlfn.NORM.S.INV(RAND()))</f>
        <v>0</v>
      </c>
      <c r="F502" s="27" t="n">
        <f aca="false">1/(1+EXP(-03_Inputs_Assumptions!$B$14*(E502-03_Inputs_Assumptions!$B$5)))</f>
        <v>0.0052201256935584</v>
      </c>
      <c r="G502" s="28" t="n">
        <f aca="false">D502*04_Baseline_PnL!$B$15*F502*04_Baseline_PnL!$B$14</f>
        <v>21289.4560856263</v>
      </c>
      <c r="H502" s="28" t="n">
        <f aca="false">D502*03_Inputs_Assumptions!$B$13*01_Macro_Data!$B$97*($G$7-1)+D502*04_Baseline_PnL!$B$15*04_Baseline_PnL!$B$13*03_Inputs_Assumptions!$B$15*($H$7-1)</f>
        <v>145203.147440333</v>
      </c>
      <c r="I502" s="16" t="n">
        <f aca="false">G502+H502</f>
        <v>166492.60352596</v>
      </c>
    </row>
    <row r="503" customFormat="false" ht="15" hidden="false" customHeight="true" outlineLevel="0" collapsed="false">
      <c r="A503" s="4" t="s">
        <v>303</v>
      </c>
      <c r="B503" s="4" t="n">
        <v>193</v>
      </c>
      <c r="C503" s="24" t="n">
        <f aca="true">RAND()</f>
        <v>0.413864374852103</v>
      </c>
      <c r="D503" s="25" t="n">
        <f aca="false">IF(C503&lt;(($C$7-$B$7)/($D$7-$B$7)),$B$7+SQRT(C503*($D$7-$B$7)*($C$7-$B$7)),$D$7-SQRT((1-C503)*($D$7-$B$7)*($D$7-$C$7)))</f>
        <v>16.563863183729</v>
      </c>
      <c r="E503" s="26" t="n">
        <f aca="true">MAX(0,$E$7+$F$7*_xlfn.NORM.S.INV(RAND()))</f>
        <v>4.38779872240135</v>
      </c>
      <c r="F503" s="27" t="n">
        <f aca="false">1/(1+EXP(-03_Inputs_Assumptions!$B$14*(E503-03_Inputs_Assumptions!$B$5)))</f>
        <v>0.0154732198813671</v>
      </c>
      <c r="G503" s="28" t="n">
        <f aca="false">D503*04_Baseline_PnL!$B$15*F503*04_Baseline_PnL!$B$14</f>
        <v>73287.8215994252</v>
      </c>
      <c r="H503" s="28" t="n">
        <f aca="false">D503*03_Inputs_Assumptions!$B$13*01_Macro_Data!$B$97*($G$7-1)+D503*04_Baseline_PnL!$B$15*04_Baseline_PnL!$B$13*03_Inputs_Assumptions!$B$15*($H$7-1)</f>
        <v>168633.378300909</v>
      </c>
      <c r="I503" s="16" t="n">
        <f aca="false">G503+H503</f>
        <v>241921.199900334</v>
      </c>
    </row>
    <row r="504" customFormat="false" ht="15" hidden="false" customHeight="true" outlineLevel="0" collapsed="false">
      <c r="A504" s="4" t="s">
        <v>303</v>
      </c>
      <c r="B504" s="4" t="n">
        <v>194</v>
      </c>
      <c r="C504" s="24" t="n">
        <f aca="true">RAND()</f>
        <v>0.407897744089078</v>
      </c>
      <c r="D504" s="25" t="n">
        <f aca="false">IF(C504&lt;(($C$7-$B$7)/($D$7-$B$7)),$B$7+SQRT(C504*($D$7-$B$7)*($C$7-$B$7)),$D$7-SQRT((1-C504)*($D$7-$B$7)*($D$7-$C$7)))</f>
        <v>16.4956490411214</v>
      </c>
      <c r="E504" s="26" t="n">
        <f aca="true">MAX(0,$E$7+$F$7*_xlfn.NORM.S.INV(RAND()))</f>
        <v>5.27458800315886</v>
      </c>
      <c r="F504" s="27" t="n">
        <f aca="false">1/(1+EXP(-03_Inputs_Assumptions!$B$14*(E504-03_Inputs_Assumptions!$B$5)))</f>
        <v>0.0192396855721811</v>
      </c>
      <c r="G504" s="28" t="n">
        <f aca="false">D504*04_Baseline_PnL!$B$15*F504*04_Baseline_PnL!$B$14</f>
        <v>90752.136809676</v>
      </c>
      <c r="H504" s="28" t="n">
        <f aca="false">D504*03_Inputs_Assumptions!$B$13*01_Macro_Data!$B$97*($G$7-1)+D504*04_Baseline_PnL!$B$15*04_Baseline_PnL!$B$13*03_Inputs_Assumptions!$B$15*($H$7-1)</f>
        <v>167938.903757849</v>
      </c>
      <c r="I504" s="16" t="n">
        <f aca="false">G504+H504</f>
        <v>258691.040567525</v>
      </c>
    </row>
    <row r="505" customFormat="false" ht="15" hidden="false" customHeight="true" outlineLevel="0" collapsed="false">
      <c r="A505" s="4" t="s">
        <v>303</v>
      </c>
      <c r="B505" s="4" t="n">
        <v>195</v>
      </c>
      <c r="C505" s="24" t="n">
        <f aca="true">RAND()</f>
        <v>0.967576352632713</v>
      </c>
      <c r="D505" s="25" t="n">
        <f aca="false">IF(C505&lt;(($C$7-$B$7)/($D$7-$B$7)),$B$7+SQRT(C505*($D$7-$B$7)*($C$7-$B$7)),$D$7-SQRT((1-C505)*($D$7-$B$7)*($D$7-$C$7)))</f>
        <v>26.8398602263311</v>
      </c>
      <c r="E505" s="26" t="n">
        <f aca="true">MAX(0,$E$7+$F$7*_xlfn.NORM.S.INV(RAND()))</f>
        <v>2.95998724900319</v>
      </c>
      <c r="F505" s="27" t="n">
        <f aca="false">1/(1+EXP(-03_Inputs_Assumptions!$B$14*(E505-03_Inputs_Assumptions!$B$5)))</f>
        <v>0.0108787757154748</v>
      </c>
      <c r="G505" s="28" t="n">
        <f aca="false">D505*04_Baseline_PnL!$B$15*F505*04_Baseline_PnL!$B$14</f>
        <v>83492.9400509942</v>
      </c>
      <c r="H505" s="28" t="n">
        <f aca="false">D505*03_Inputs_Assumptions!$B$13*01_Macro_Data!$B$97*($G$7-1)+D505*04_Baseline_PnL!$B$15*04_Baseline_PnL!$B$13*03_Inputs_Assumptions!$B$15*($H$7-1)</f>
        <v>273251.248992232</v>
      </c>
      <c r="I505" s="16" t="n">
        <f aca="false">G505+H505</f>
        <v>356744.189043226</v>
      </c>
    </row>
    <row r="506" customFormat="false" ht="15" hidden="false" customHeight="true" outlineLevel="0" collapsed="false">
      <c r="A506" s="4" t="s">
        <v>303</v>
      </c>
      <c r="B506" s="4" t="n">
        <v>196</v>
      </c>
      <c r="C506" s="24" t="n">
        <f aca="true">RAND()</f>
        <v>0.0264855923129524</v>
      </c>
      <c r="D506" s="25" t="n">
        <f aca="false">IF(C506&lt;(($C$7-$B$7)/($D$7-$B$7)),$B$7+SQRT(C506*($D$7-$B$7)*($C$7-$B$7)),$D$7-SQRT((1-C506)*($D$7-$B$7)*($D$7-$C$7)))</f>
        <v>10.1590424375356</v>
      </c>
      <c r="E506" s="26" t="n">
        <f aca="true">MAX(0,$E$7+$F$7*_xlfn.NORM.S.INV(RAND()))</f>
        <v>1.59281158381409</v>
      </c>
      <c r="F506" s="27" t="n">
        <f aca="false">1/(1+EXP(-03_Inputs_Assumptions!$B$14*(E506-03_Inputs_Assumptions!$B$5)))</f>
        <v>0.00775373162005549</v>
      </c>
      <c r="G506" s="28" t="n">
        <f aca="false">D506*04_Baseline_PnL!$B$15*F506*04_Baseline_PnL!$B$14</f>
        <v>22524.3890718645</v>
      </c>
      <c r="H506" s="28" t="n">
        <f aca="false">D506*03_Inputs_Assumptions!$B$13*01_Macro_Data!$B$97*($G$7-1)+D506*04_Baseline_PnL!$B$15*04_Baseline_PnL!$B$13*03_Inputs_Assumptions!$B$15*($H$7-1)</f>
        <v>103427.179248062</v>
      </c>
      <c r="I506" s="16" t="n">
        <f aca="false">G506+H506</f>
        <v>125951.568319927</v>
      </c>
    </row>
    <row r="507" customFormat="false" ht="15" hidden="false" customHeight="true" outlineLevel="0" collapsed="false">
      <c r="A507" s="4" t="s">
        <v>303</v>
      </c>
      <c r="B507" s="4" t="n">
        <v>197</v>
      </c>
      <c r="C507" s="24" t="n">
        <f aca="true">RAND()</f>
        <v>0.152093274654583</v>
      </c>
      <c r="D507" s="25" t="n">
        <f aca="false">IF(C507&lt;(($C$7-$B$7)/($D$7-$B$7)),$B$7+SQRT(C507*($D$7-$B$7)*($C$7-$B$7)),$D$7-SQRT((1-C507)*($D$7-$B$7)*($D$7-$C$7)))</f>
        <v>13.1738202847805</v>
      </c>
      <c r="E507" s="26" t="n">
        <f aca="true">MAX(0,$E$7+$F$7*_xlfn.NORM.S.INV(RAND()))</f>
        <v>3.19320969673884</v>
      </c>
      <c r="F507" s="27" t="n">
        <f aca="false">1/(1+EXP(-03_Inputs_Assumptions!$B$14*(E507-03_Inputs_Assumptions!$B$5)))</f>
        <v>0.0115243983577467</v>
      </c>
      <c r="G507" s="28" t="n">
        <f aca="false">D507*04_Baseline_PnL!$B$15*F507*04_Baseline_PnL!$B$14</f>
        <v>43412.9679591531</v>
      </c>
      <c r="H507" s="28" t="n">
        <f aca="false">D507*03_Inputs_Assumptions!$B$13*01_Macro_Data!$B$97*($G$7-1)+D507*04_Baseline_PnL!$B$15*04_Baseline_PnL!$B$13*03_Inputs_Assumptions!$B$15*($H$7-1)</f>
        <v>134120.029555294</v>
      </c>
      <c r="I507" s="16" t="n">
        <f aca="false">G507+H507</f>
        <v>177532.997514447</v>
      </c>
    </row>
    <row r="508" customFormat="false" ht="15" hidden="false" customHeight="true" outlineLevel="0" collapsed="false">
      <c r="A508" s="4" t="s">
        <v>303</v>
      </c>
      <c r="B508" s="4" t="n">
        <v>198</v>
      </c>
      <c r="C508" s="24" t="n">
        <f aca="true">RAND()</f>
        <v>0.293533852287052</v>
      </c>
      <c r="D508" s="25" t="n">
        <f aca="false">IF(C508&lt;(($C$7-$B$7)/($D$7-$B$7)),$B$7+SQRT(C508*($D$7-$B$7)*($C$7-$B$7)),$D$7-SQRT((1-C508)*($D$7-$B$7)*($D$7-$C$7)))</f>
        <v>15.187625338213</v>
      </c>
      <c r="E508" s="26" t="n">
        <f aca="true">MAX(0,$E$7+$F$7*_xlfn.NORM.S.INV(RAND()))</f>
        <v>3.81461450721253</v>
      </c>
      <c r="F508" s="27" t="n">
        <f aca="false">1/(1+EXP(-03_Inputs_Assumptions!$B$14*(E508-03_Inputs_Assumptions!$B$5)))</f>
        <v>0.0134352597580342</v>
      </c>
      <c r="G508" s="28" t="n">
        <f aca="false">D508*04_Baseline_PnL!$B$15*F508*04_Baseline_PnL!$B$14</f>
        <v>58347.9260436793</v>
      </c>
      <c r="H508" s="28" t="n">
        <f aca="false">D508*03_Inputs_Assumptions!$B$13*01_Macro_Data!$B$97*($G$7-1)+D508*04_Baseline_PnL!$B$15*04_Baseline_PnL!$B$13*03_Inputs_Assumptions!$B$15*($H$7-1)</f>
        <v>154622.176043279</v>
      </c>
      <c r="I508" s="16" t="n">
        <f aca="false">G508+H508</f>
        <v>212970.102086958</v>
      </c>
    </row>
    <row r="509" customFormat="false" ht="15" hidden="false" customHeight="true" outlineLevel="0" collapsed="false">
      <c r="A509" s="4" t="s">
        <v>303</v>
      </c>
      <c r="B509" s="4" t="n">
        <v>199</v>
      </c>
      <c r="C509" s="24" t="n">
        <f aca="true">RAND()</f>
        <v>0.144570138527079</v>
      </c>
      <c r="D509" s="25" t="n">
        <f aca="false">IF(C509&lt;(($C$7-$B$7)/($D$7-$B$7)),$B$7+SQRT(C509*($D$7-$B$7)*($C$7-$B$7)),$D$7-SQRT((1-C509)*($D$7-$B$7)*($D$7-$C$7)))</f>
        <v>13.0442387315398</v>
      </c>
      <c r="E509" s="26" t="n">
        <f aca="true">MAX(0,$E$7+$F$7*_xlfn.NORM.S.INV(RAND()))</f>
        <v>1.2067924522097</v>
      </c>
      <c r="F509" s="27" t="n">
        <f aca="false">1/(1+EXP(-03_Inputs_Assumptions!$B$14*(E509-03_Inputs_Assumptions!$B$5)))</f>
        <v>0.0070454569066738</v>
      </c>
      <c r="G509" s="28" t="n">
        <f aca="false">D509*04_Baseline_PnL!$B$15*F509*04_Baseline_PnL!$B$14</f>
        <v>26279.5172273451</v>
      </c>
      <c r="H509" s="28" t="n">
        <f aca="false">D509*03_Inputs_Assumptions!$B$13*01_Macro_Data!$B$97*($G$7-1)+D509*04_Baseline_PnL!$B$15*04_Baseline_PnL!$B$13*03_Inputs_Assumptions!$B$15*($H$7-1)</f>
        <v>132800.78567806</v>
      </c>
      <c r="I509" s="16" t="n">
        <f aca="false">G509+H509</f>
        <v>159080.302905405</v>
      </c>
    </row>
    <row r="510" customFormat="false" ht="15" hidden="false" customHeight="true" outlineLevel="0" collapsed="false">
      <c r="A510" s="4" t="s">
        <v>303</v>
      </c>
      <c r="B510" s="4" t="n">
        <v>200</v>
      </c>
      <c r="C510" s="24" t="n">
        <f aca="true">RAND()</f>
        <v>0.564412378449433</v>
      </c>
      <c r="D510" s="25" t="n">
        <f aca="false">IF(C510&lt;(($C$7-$B$7)/($D$7-$B$7)),$B$7+SQRT(C510*($D$7-$B$7)*($C$7-$B$7)),$D$7-SQRT((1-C510)*($D$7-$B$7)*($D$7-$C$7)))</f>
        <v>18.4172115862555</v>
      </c>
      <c r="E510" s="26" t="n">
        <f aca="true">MAX(0,$E$7+$F$7*_xlfn.NORM.S.INV(RAND()))</f>
        <v>4.79387108359782</v>
      </c>
      <c r="F510" s="27" t="n">
        <f aca="false">1/(1+EXP(-03_Inputs_Assumptions!$B$14*(E510-03_Inputs_Assumptions!$B$5)))</f>
        <v>0.0170982637443032</v>
      </c>
      <c r="G510" s="28" t="n">
        <f aca="false">D510*04_Baseline_PnL!$B$15*F510*04_Baseline_PnL!$B$14</f>
        <v>90046.1959738636</v>
      </c>
      <c r="H510" s="28" t="n">
        <f aca="false">D510*03_Inputs_Assumptions!$B$13*01_Macro_Data!$B$97*($G$7-1)+D510*04_Baseline_PnL!$B$15*04_Baseline_PnL!$B$13*03_Inputs_Assumptions!$B$15*($H$7-1)</f>
        <v>187501.94771735</v>
      </c>
      <c r="I510" s="16" t="n">
        <f aca="false">G510+H510</f>
        <v>277548.143691213</v>
      </c>
    </row>
    <row r="511" customFormat="false" ht="15" hidden="false" customHeight="true" outlineLevel="0" collapsed="false">
      <c r="A511" s="4" t="s">
        <v>303</v>
      </c>
      <c r="B511" s="4" t="n">
        <v>201</v>
      </c>
      <c r="C511" s="24" t="n">
        <f aca="true">RAND()</f>
        <v>0.538467603413356</v>
      </c>
      <c r="D511" s="25" t="n">
        <f aca="false">IF(C511&lt;(($C$7-$B$7)/($D$7-$B$7)),$B$7+SQRT(C511*($D$7-$B$7)*($C$7-$B$7)),$D$7-SQRT((1-C511)*($D$7-$B$7)*($D$7-$C$7)))</f>
        <v>18.077249556051</v>
      </c>
      <c r="E511" s="26" t="n">
        <f aca="true">MAX(0,$E$7+$F$7*_xlfn.NORM.S.INV(RAND()))</f>
        <v>2.04627798150477</v>
      </c>
      <c r="F511" s="27" t="n">
        <f aca="false">1/(1+EXP(-03_Inputs_Assumptions!$B$14*(E511-03_Inputs_Assumptions!$B$5)))</f>
        <v>0.00867643284908339</v>
      </c>
      <c r="G511" s="28" t="n">
        <f aca="false">D511*04_Baseline_PnL!$B$15*F511*04_Baseline_PnL!$B$14</f>
        <v>44850.0616823286</v>
      </c>
      <c r="H511" s="28" t="n">
        <f aca="false">D511*03_Inputs_Assumptions!$B$13*01_Macro_Data!$B$97*($G$7-1)+D511*04_Baseline_PnL!$B$15*04_Baseline_PnL!$B$13*03_Inputs_Assumptions!$B$15*($H$7-1)</f>
        <v>184040.862280244</v>
      </c>
      <c r="I511" s="16" t="n">
        <f aca="false">G511+H511</f>
        <v>228890.923962573</v>
      </c>
    </row>
    <row r="512" customFormat="false" ht="15" hidden="false" customHeight="true" outlineLevel="0" collapsed="false">
      <c r="A512" s="4" t="s">
        <v>303</v>
      </c>
      <c r="B512" s="4" t="n">
        <v>202</v>
      </c>
      <c r="C512" s="24" t="n">
        <f aca="true">RAND()</f>
        <v>0.540988937584027</v>
      </c>
      <c r="D512" s="25" t="n">
        <f aca="false">IF(C512&lt;(($C$7-$B$7)/($D$7-$B$7)),$B$7+SQRT(C512*($D$7-$B$7)*($C$7-$B$7)),$D$7-SQRT((1-C512)*($D$7-$B$7)*($D$7-$C$7)))</f>
        <v>18.1098609249463</v>
      </c>
      <c r="E512" s="26" t="n">
        <f aca="true">MAX(0,$E$7+$F$7*_xlfn.NORM.S.INV(RAND()))</f>
        <v>5.06900110157218</v>
      </c>
      <c r="F512" s="27" t="n">
        <f aca="false">1/(1+EXP(-03_Inputs_Assumptions!$B$14*(E512-03_Inputs_Assumptions!$B$5)))</f>
        <v>0.0182934434969128</v>
      </c>
      <c r="G512" s="28" t="n">
        <f aca="false">D512*04_Baseline_PnL!$B$15*F512*04_Baseline_PnL!$B$14</f>
        <v>94732.7314777638</v>
      </c>
      <c r="H512" s="28" t="n">
        <f aca="false">D512*03_Inputs_Assumptions!$B$13*01_Macro_Data!$B$97*($G$7-1)+D512*04_Baseline_PnL!$B$15*04_Baseline_PnL!$B$13*03_Inputs_Assumptions!$B$15*($H$7-1)</f>
        <v>184372.872104693</v>
      </c>
      <c r="I512" s="16" t="n">
        <f aca="false">G512+H512</f>
        <v>279105.603582457</v>
      </c>
    </row>
    <row r="513" customFormat="false" ht="15" hidden="false" customHeight="true" outlineLevel="0" collapsed="false">
      <c r="A513" s="4" t="s">
        <v>303</v>
      </c>
      <c r="B513" s="4" t="n">
        <v>203</v>
      </c>
      <c r="C513" s="24" t="n">
        <f aca="true">RAND()</f>
        <v>0.471465016750115</v>
      </c>
      <c r="D513" s="25" t="n">
        <f aca="false">IF(C513&lt;(($C$7-$B$7)/($D$7-$B$7)),$B$7+SQRT(C513*($D$7-$B$7)*($C$7-$B$7)),$D$7-SQRT((1-C513)*($D$7-$B$7)*($D$7-$C$7)))</f>
        <v>17.2411295624979</v>
      </c>
      <c r="E513" s="26" t="n">
        <f aca="true">MAX(0,$E$7+$F$7*_xlfn.NORM.S.INV(RAND()))</f>
        <v>5.121234938998</v>
      </c>
      <c r="F513" s="27" t="n">
        <f aca="false">1/(1+EXP(-03_Inputs_Assumptions!$B$14*(E513-03_Inputs_Assumptions!$B$5)))</f>
        <v>0.0185294388094038</v>
      </c>
      <c r="G513" s="28" t="n">
        <f aca="false">D513*04_Baseline_PnL!$B$15*F513*04_Baseline_PnL!$B$14</f>
        <v>91351.8744369783</v>
      </c>
      <c r="H513" s="28" t="n">
        <f aca="false">D513*03_Inputs_Assumptions!$B$13*01_Macro_Data!$B$97*($G$7-1)+D513*04_Baseline_PnL!$B$15*04_Baseline_PnL!$B$13*03_Inputs_Assumptions!$B$15*($H$7-1)</f>
        <v>175528.491849879</v>
      </c>
      <c r="I513" s="16" t="n">
        <f aca="false">G513+H513</f>
        <v>266880.366286857</v>
      </c>
    </row>
    <row r="514" customFormat="false" ht="15" hidden="false" customHeight="true" outlineLevel="0" collapsed="false">
      <c r="A514" s="4" t="s">
        <v>303</v>
      </c>
      <c r="B514" s="4" t="n">
        <v>204</v>
      </c>
      <c r="C514" s="24" t="n">
        <f aca="true">RAND()</f>
        <v>0.349904143830913</v>
      </c>
      <c r="D514" s="25" t="n">
        <f aca="false">IF(C514&lt;(($C$7-$B$7)/($D$7-$B$7)),$B$7+SQRT(C514*($D$7-$B$7)*($C$7-$B$7)),$D$7-SQRT((1-C514)*($D$7-$B$7)*($D$7-$C$7)))</f>
        <v>15.8474919123399</v>
      </c>
      <c r="E514" s="26" t="n">
        <f aca="true">MAX(0,$E$7+$F$7*_xlfn.NORM.S.INV(RAND()))</f>
        <v>3.17630040314415</v>
      </c>
      <c r="F514" s="27" t="n">
        <f aca="false">1/(1+EXP(-03_Inputs_Assumptions!$B$14*(E514-03_Inputs_Assumptions!$B$5)))</f>
        <v>0.0114763417429636</v>
      </c>
      <c r="G514" s="28" t="n">
        <f aca="false">D514*04_Baseline_PnL!$B$15*F514*04_Baseline_PnL!$B$14</f>
        <v>52006.0048634782</v>
      </c>
      <c r="H514" s="28" t="n">
        <f aca="false">D514*03_Inputs_Assumptions!$B$13*01_Macro_Data!$B$97*($G$7-1)+D514*04_Baseline_PnL!$B$15*04_Baseline_PnL!$B$13*03_Inputs_Assumptions!$B$15*($H$7-1)</f>
        <v>161340.145661151</v>
      </c>
      <c r="I514" s="16" t="n">
        <f aca="false">G514+H514</f>
        <v>213346.150524629</v>
      </c>
    </row>
    <row r="515" customFormat="false" ht="15" hidden="false" customHeight="true" outlineLevel="0" collapsed="false">
      <c r="A515" s="4" t="s">
        <v>303</v>
      </c>
      <c r="B515" s="4" t="n">
        <v>205</v>
      </c>
      <c r="C515" s="24" t="n">
        <f aca="true">RAND()</f>
        <v>0.821657237349486</v>
      </c>
      <c r="D515" s="25" t="n">
        <f aca="false">IF(C515&lt;(($C$7-$B$7)/($D$7-$B$7)),$B$7+SQRT(C515*($D$7-$B$7)*($C$7-$B$7)),$D$7-SQRT((1-C515)*($D$7-$B$7)*($D$7-$C$7)))</f>
        <v>22.5885513631707</v>
      </c>
      <c r="E515" s="26" t="n">
        <f aca="true">MAX(0,$E$7+$F$7*_xlfn.NORM.S.INV(RAND()))</f>
        <v>6.12774448626844</v>
      </c>
      <c r="F515" s="27" t="n">
        <f aca="false">1/(1+EXP(-03_Inputs_Assumptions!$B$14*(E515-03_Inputs_Assumptions!$B$5)))</f>
        <v>0.0237053452983734</v>
      </c>
      <c r="G515" s="28" t="n">
        <f aca="false">D515*04_Baseline_PnL!$B$15*F515*04_Baseline_PnL!$B$14</f>
        <v>153117.259286531</v>
      </c>
      <c r="H515" s="28" t="n">
        <f aca="false">D515*03_Inputs_Assumptions!$B$13*01_Macro_Data!$B$97*($G$7-1)+D515*04_Baseline_PnL!$B$15*04_Baseline_PnL!$B$13*03_Inputs_Assumptions!$B$15*($H$7-1)</f>
        <v>229969.523718169</v>
      </c>
      <c r="I515" s="16" t="n">
        <f aca="false">G515+H515</f>
        <v>383086.7830047</v>
      </c>
    </row>
    <row r="516" customFormat="false" ht="15" hidden="false" customHeight="true" outlineLevel="0" collapsed="false">
      <c r="A516" s="4" t="s">
        <v>303</v>
      </c>
      <c r="B516" s="4" t="n">
        <v>206</v>
      </c>
      <c r="C516" s="24" t="n">
        <f aca="true">RAND()</f>
        <v>0.3578099743939</v>
      </c>
      <c r="D516" s="25" t="n">
        <f aca="false">IF(C516&lt;(($C$7-$B$7)/($D$7-$B$7)),$B$7+SQRT(C516*($D$7-$B$7)*($C$7-$B$7)),$D$7-SQRT((1-C516)*($D$7-$B$7)*($D$7-$C$7)))</f>
        <v>15.9356509180613</v>
      </c>
      <c r="E516" s="26" t="n">
        <f aca="true">MAX(0,$E$7+$F$7*_xlfn.NORM.S.INV(RAND()))</f>
        <v>4.66220264297046</v>
      </c>
      <c r="F516" s="27" t="n">
        <f aca="false">1/(1+EXP(-03_Inputs_Assumptions!$B$14*(E516-03_Inputs_Assumptions!$B$5)))</f>
        <v>0.0165537660040386</v>
      </c>
      <c r="G516" s="28" t="n">
        <f aca="false">D516*04_Baseline_PnL!$B$15*F516*04_Baseline_PnL!$B$14</f>
        <v>75432.083040891</v>
      </c>
      <c r="H516" s="28" t="n">
        <f aca="false">D516*03_Inputs_Assumptions!$B$13*01_Macro_Data!$B$97*($G$7-1)+D516*04_Baseline_PnL!$B$15*04_Baseline_PnL!$B$13*03_Inputs_Assumptions!$B$15*($H$7-1)</f>
        <v>162237.674866598</v>
      </c>
      <c r="I516" s="16" t="n">
        <f aca="false">G516+H516</f>
        <v>237669.757907489</v>
      </c>
    </row>
    <row r="517" customFormat="false" ht="15" hidden="false" customHeight="true" outlineLevel="0" collapsed="false">
      <c r="A517" s="4" t="s">
        <v>303</v>
      </c>
      <c r="B517" s="4" t="n">
        <v>207</v>
      </c>
      <c r="C517" s="24" t="n">
        <f aca="true">RAND()</f>
        <v>0.129658185124369</v>
      </c>
      <c r="D517" s="25" t="n">
        <f aca="false">IF(C517&lt;(($C$7-$B$7)/($D$7-$B$7)),$B$7+SQRT(C517*($D$7-$B$7)*($C$7-$B$7)),$D$7-SQRT((1-C517)*($D$7-$B$7)*($D$7-$C$7)))</f>
        <v>12.7770116790614</v>
      </c>
      <c r="E517" s="26" t="n">
        <f aca="true">MAX(0,$E$7+$F$7*_xlfn.NORM.S.INV(RAND()))</f>
        <v>2.4027691832336</v>
      </c>
      <c r="F517" s="27" t="n">
        <f aca="false">1/(1+EXP(-03_Inputs_Assumptions!$B$14*(E517-03_Inputs_Assumptions!$B$5)))</f>
        <v>0.00947754045234376</v>
      </c>
      <c r="G517" s="28" t="n">
        <f aca="false">D517*04_Baseline_PnL!$B$15*F517*04_Baseline_PnL!$B$14</f>
        <v>34626.9643472958</v>
      </c>
      <c r="H517" s="28" t="n">
        <f aca="false">D517*03_Inputs_Assumptions!$B$13*01_Macro_Data!$B$97*($G$7-1)+D517*04_Baseline_PnL!$B$15*04_Baseline_PnL!$B$13*03_Inputs_Assumptions!$B$15*($H$7-1)</f>
        <v>130080.200502188</v>
      </c>
      <c r="I517" s="16" t="n">
        <f aca="false">G517+H517</f>
        <v>164707.164849484</v>
      </c>
    </row>
    <row r="518" customFormat="false" ht="15" hidden="false" customHeight="true" outlineLevel="0" collapsed="false">
      <c r="A518" s="4" t="s">
        <v>303</v>
      </c>
      <c r="B518" s="4" t="n">
        <v>208</v>
      </c>
      <c r="C518" s="24" t="n">
        <f aca="true">RAND()</f>
        <v>0.951501475403213</v>
      </c>
      <c r="D518" s="25" t="n">
        <f aca="false">IF(C518&lt;(($C$7-$B$7)/($D$7-$B$7)),$B$7+SQRT(C518*($D$7-$B$7)*($C$7-$B$7)),$D$7-SQRT((1-C518)*($D$7-$B$7)*($D$7-$C$7)))</f>
        <v>26.1350878954612</v>
      </c>
      <c r="E518" s="26" t="n">
        <f aca="true">MAX(0,$E$7+$F$7*_xlfn.NORM.S.INV(RAND()))</f>
        <v>6.30939431378991</v>
      </c>
      <c r="F518" s="27" t="n">
        <f aca="false">1/(1+EXP(-03_Inputs_Assumptions!$B$14*(E518-03_Inputs_Assumptions!$B$5)))</f>
        <v>0.0247793907550678</v>
      </c>
      <c r="G518" s="28" t="n">
        <f aca="false">D518*04_Baseline_PnL!$B$15*F518*04_Baseline_PnL!$B$14</f>
        <v>185184.260047758</v>
      </c>
      <c r="H518" s="28" t="n">
        <f aca="false">D518*03_Inputs_Assumptions!$B$13*01_Macro_Data!$B$97*($G$7-1)+D518*04_Baseline_PnL!$B$15*04_Baseline_PnL!$B$13*03_Inputs_Assumptions!$B$15*($H$7-1)</f>
        <v>266076.102846112</v>
      </c>
      <c r="I518" s="16" t="n">
        <f aca="false">G518+H518</f>
        <v>451260.362893869</v>
      </c>
    </row>
    <row r="519" customFormat="false" ht="15" hidden="false" customHeight="true" outlineLevel="0" collapsed="false">
      <c r="A519" s="4" t="s">
        <v>303</v>
      </c>
      <c r="B519" s="4" t="n">
        <v>209</v>
      </c>
      <c r="C519" s="24" t="n">
        <f aca="true">RAND()</f>
        <v>0.369101291264922</v>
      </c>
      <c r="D519" s="25" t="n">
        <f aca="false">IF(C519&lt;(($C$7-$B$7)/($D$7-$B$7)),$B$7+SQRT(C519*($D$7-$B$7)*($C$7-$B$7)),$D$7-SQRT((1-C519)*($D$7-$B$7)*($D$7-$C$7)))</f>
        <v>16.0602438224191</v>
      </c>
      <c r="E519" s="26" t="n">
        <f aca="true">MAX(0,$E$7+$F$7*_xlfn.NORM.S.INV(RAND()))</f>
        <v>3.27578626950454</v>
      </c>
      <c r="F519" s="27" t="n">
        <f aca="false">1/(1+EXP(-03_Inputs_Assumptions!$B$14*(E519-03_Inputs_Assumptions!$B$5)))</f>
        <v>0.0117619550254308</v>
      </c>
      <c r="G519" s="28" t="n">
        <f aca="false">D519*04_Baseline_PnL!$B$15*F519*04_Baseline_PnL!$B$14</f>
        <v>54015.8394827201</v>
      </c>
      <c r="H519" s="28" t="n">
        <f aca="false">D519*03_Inputs_Assumptions!$B$13*01_Macro_Data!$B$97*($G$7-1)+D519*04_Baseline_PnL!$B$15*04_Baseline_PnL!$B$13*03_Inputs_Assumptions!$B$15*($H$7-1)</f>
        <v>163506.130307285</v>
      </c>
      <c r="I519" s="16" t="n">
        <f aca="false">G519+H519</f>
        <v>217521.969790005</v>
      </c>
    </row>
    <row r="520" customFormat="false" ht="15" hidden="false" customHeight="true" outlineLevel="0" collapsed="false">
      <c r="A520" s="4" t="s">
        <v>303</v>
      </c>
      <c r="B520" s="4" t="n">
        <v>210</v>
      </c>
      <c r="C520" s="24" t="n">
        <f aca="true">RAND()</f>
        <v>0.308294204886833</v>
      </c>
      <c r="D520" s="25" t="n">
        <f aca="false">IF(C520&lt;(($C$7-$B$7)/($D$7-$B$7)),$B$7+SQRT(C520*($D$7-$B$7)*($C$7-$B$7)),$D$7-SQRT((1-C520)*($D$7-$B$7)*($D$7-$C$7)))</f>
        <v>15.3661238151475</v>
      </c>
      <c r="E520" s="26" t="n">
        <f aca="true">MAX(0,$E$7+$F$7*_xlfn.NORM.S.INV(RAND()))</f>
        <v>4.03138686151265</v>
      </c>
      <c r="F520" s="27" t="n">
        <f aca="false">1/(1+EXP(-03_Inputs_Assumptions!$B$14*(E520-03_Inputs_Assumptions!$B$5)))</f>
        <v>0.0141728442397541</v>
      </c>
      <c r="G520" s="28" t="n">
        <f aca="false">D520*04_Baseline_PnL!$B$15*F520*04_Baseline_PnL!$B$14</f>
        <v>62274.582373939</v>
      </c>
      <c r="H520" s="28" t="n">
        <f aca="false">D520*03_Inputs_Assumptions!$B$13*01_Macro_Data!$B$97*($G$7-1)+D520*04_Baseline_PnL!$B$15*04_Baseline_PnL!$B$13*03_Inputs_Assumptions!$B$15*($H$7-1)</f>
        <v>156439.433337253</v>
      </c>
      <c r="I520" s="16" t="n">
        <f aca="false">G520+H520</f>
        <v>218714.015711192</v>
      </c>
    </row>
    <row r="521" customFormat="false" ht="15" hidden="false" customHeight="true" outlineLevel="0" collapsed="false">
      <c r="A521" s="4" t="s">
        <v>303</v>
      </c>
      <c r="B521" s="4" t="n">
        <v>211</v>
      </c>
      <c r="C521" s="24" t="n">
        <f aca="true">RAND()</f>
        <v>0.0931886958848155</v>
      </c>
      <c r="D521" s="25" t="n">
        <f aca="false">IF(C521&lt;(($C$7-$B$7)/($D$7-$B$7)),$B$7+SQRT(C521*($D$7-$B$7)*($C$7-$B$7)),$D$7-SQRT((1-C521)*($D$7-$B$7)*($D$7-$C$7)))</f>
        <v>12.0498407963434</v>
      </c>
      <c r="E521" s="26" t="n">
        <f aca="true">MAX(0,$E$7+$F$7*_xlfn.NORM.S.INV(RAND()))</f>
        <v>3.95138962979149</v>
      </c>
      <c r="F521" s="27" t="n">
        <f aca="false">1/(1+EXP(-03_Inputs_Assumptions!$B$14*(E521-03_Inputs_Assumptions!$B$5)))</f>
        <v>0.0138961124221035</v>
      </c>
      <c r="G521" s="28" t="n">
        <f aca="false">D521*04_Baseline_PnL!$B$15*F521*04_Baseline_PnL!$B$14</f>
        <v>47881.098907246</v>
      </c>
      <c r="H521" s="28" t="n">
        <f aca="false">D521*03_Inputs_Assumptions!$B$13*01_Macro_Data!$B$97*($G$7-1)+D521*04_Baseline_PnL!$B$15*04_Baseline_PnL!$B$13*03_Inputs_Assumptions!$B$15*($H$7-1)</f>
        <v>122677.019179413</v>
      </c>
      <c r="I521" s="16" t="n">
        <f aca="false">G521+H521</f>
        <v>170558.118086659</v>
      </c>
    </row>
    <row r="522" customFormat="false" ht="15" hidden="false" customHeight="true" outlineLevel="0" collapsed="false">
      <c r="A522" s="4" t="s">
        <v>303</v>
      </c>
      <c r="B522" s="4" t="n">
        <v>212</v>
      </c>
      <c r="C522" s="24" t="n">
        <f aca="true">RAND()</f>
        <v>0.807462925023457</v>
      </c>
      <c r="D522" s="25" t="n">
        <f aca="false">IF(C522&lt;(($C$7-$B$7)/($D$7-$B$7)),$B$7+SQRT(C522*($D$7-$B$7)*($C$7-$B$7)),$D$7-SQRT((1-C522)*($D$7-$B$7)*($D$7-$C$7)))</f>
        <v>22.2992585361684</v>
      </c>
      <c r="E522" s="26" t="n">
        <f aca="true">MAX(0,$E$7+$F$7*_xlfn.NORM.S.INV(RAND()))</f>
        <v>2.63239501271002</v>
      </c>
      <c r="F522" s="27" t="n">
        <f aca="false">1/(1+EXP(-03_Inputs_Assumptions!$B$14*(E522-03_Inputs_Assumptions!$B$5)))</f>
        <v>0.0100319144780604</v>
      </c>
      <c r="G522" s="28" t="n">
        <f aca="false">D522*04_Baseline_PnL!$B$15*F522*04_Baseline_PnL!$B$14</f>
        <v>63968.1403241123</v>
      </c>
      <c r="H522" s="28" t="n">
        <f aca="false">D522*03_Inputs_Assumptions!$B$13*01_Macro_Data!$B$97*($G$7-1)+D522*04_Baseline_PnL!$B$15*04_Baseline_PnL!$B$13*03_Inputs_Assumptions!$B$15*($H$7-1)</f>
        <v>227024.291305023</v>
      </c>
      <c r="I522" s="16" t="n">
        <f aca="false">G522+H522</f>
        <v>290992.431629136</v>
      </c>
    </row>
    <row r="523" customFormat="false" ht="15" hidden="false" customHeight="true" outlineLevel="0" collapsed="false">
      <c r="A523" s="4" t="s">
        <v>303</v>
      </c>
      <c r="B523" s="4" t="n">
        <v>213</v>
      </c>
      <c r="C523" s="24" t="n">
        <f aca="true">RAND()</f>
        <v>0.13453913321047</v>
      </c>
      <c r="D523" s="25" t="n">
        <f aca="false">IF(C523&lt;(($C$7-$B$7)/($D$7-$B$7)),$B$7+SQRT(C523*($D$7-$B$7)*($C$7-$B$7)),$D$7-SQRT((1-C523)*($D$7-$B$7)*($D$7-$C$7)))</f>
        <v>12.8660957085781</v>
      </c>
      <c r="E523" s="26" t="n">
        <f aca="true">MAX(0,$E$7+$F$7*_xlfn.NORM.S.INV(RAND()))</f>
        <v>6.76662438131867</v>
      </c>
      <c r="F523" s="27" t="n">
        <f aca="false">1/(1+EXP(-03_Inputs_Assumptions!$B$14*(E523-03_Inputs_Assumptions!$B$5)))</f>
        <v>0.0276969858760642</v>
      </c>
      <c r="G523" s="28" t="n">
        <f aca="false">D523*04_Baseline_PnL!$B$15*F523*04_Baseline_PnL!$B$14</f>
        <v>101898.729352137</v>
      </c>
      <c r="H523" s="28" t="n">
        <f aca="false">D523*03_Inputs_Assumptions!$B$13*01_Macro_Data!$B$97*($G$7-1)+D523*04_Baseline_PnL!$B$15*04_Baseline_PnL!$B$13*03_Inputs_Assumptions!$B$15*($H$7-1)</f>
        <v>130987.147189893</v>
      </c>
      <c r="I523" s="16" t="n">
        <f aca="false">G523+H523</f>
        <v>232885.87654203</v>
      </c>
    </row>
    <row r="524" customFormat="false" ht="15" hidden="false" customHeight="true" outlineLevel="0" collapsed="false">
      <c r="A524" s="4" t="s">
        <v>303</v>
      </c>
      <c r="B524" s="4" t="n">
        <v>214</v>
      </c>
      <c r="C524" s="24" t="n">
        <f aca="true">RAND()</f>
        <v>0.645434030216411</v>
      </c>
      <c r="D524" s="25" t="n">
        <f aca="false">IF(C524&lt;(($C$7-$B$7)/($D$7-$B$7)),$B$7+SQRT(C524*($D$7-$B$7)*($C$7-$B$7)),$D$7-SQRT((1-C524)*($D$7-$B$7)*($D$7-$C$7)))</f>
        <v>19.549817288997</v>
      </c>
      <c r="E524" s="26" t="n">
        <f aca="true">MAX(0,$E$7+$F$7*_xlfn.NORM.S.INV(RAND()))</f>
        <v>1.94474471075055</v>
      </c>
      <c r="F524" s="27" t="n">
        <f aca="false">1/(1+EXP(-03_Inputs_Assumptions!$B$14*(E524-03_Inputs_Assumptions!$B$5)))</f>
        <v>0.00846080779465227</v>
      </c>
      <c r="G524" s="28" t="n">
        <f aca="false">D524*04_Baseline_PnL!$B$15*F524*04_Baseline_PnL!$B$14</f>
        <v>47298.1346544925</v>
      </c>
      <c r="H524" s="28" t="n">
        <f aca="false">D524*03_Inputs_Assumptions!$B$13*01_Macro_Data!$B$97*($G$7-1)+D524*04_Baseline_PnL!$B$15*04_Baseline_PnL!$B$13*03_Inputs_Assumptions!$B$15*($H$7-1)</f>
        <v>199032.779855821</v>
      </c>
      <c r="I524" s="16" t="n">
        <f aca="false">G524+H524</f>
        <v>246330.914510314</v>
      </c>
    </row>
    <row r="525" customFormat="false" ht="15" hidden="false" customHeight="true" outlineLevel="0" collapsed="false">
      <c r="A525" s="4" t="s">
        <v>303</v>
      </c>
      <c r="B525" s="4" t="n">
        <v>215</v>
      </c>
      <c r="C525" s="24" t="n">
        <f aca="true">RAND()</f>
        <v>0.268535827867836</v>
      </c>
      <c r="D525" s="25" t="n">
        <f aca="false">IF(C525&lt;(($C$7-$B$7)/($D$7-$B$7)),$B$7+SQRT(C525*($D$7-$B$7)*($C$7-$B$7)),$D$7-SQRT((1-C525)*($D$7-$B$7)*($D$7-$C$7)))</f>
        <v>14.8747585924699</v>
      </c>
      <c r="E525" s="26" t="n">
        <f aca="true">MAX(0,$E$7+$F$7*_xlfn.NORM.S.INV(RAND()))</f>
        <v>0.64076851132077</v>
      </c>
      <c r="F525" s="27" t="n">
        <f aca="false">1/(1+EXP(-03_Inputs_Assumptions!$B$14*(E525-03_Inputs_Assumptions!$B$5)))</f>
        <v>0.00612149956854162</v>
      </c>
      <c r="G525" s="28" t="n">
        <f aca="false">D525*04_Baseline_PnL!$B$15*F525*04_Baseline_PnL!$B$14</f>
        <v>26037.3769550639</v>
      </c>
      <c r="H525" s="28" t="n">
        <f aca="false">D525*03_Inputs_Assumptions!$B$13*01_Macro_Data!$B$97*($G$7-1)+D525*04_Baseline_PnL!$B$15*04_Baseline_PnL!$B$13*03_Inputs_Assumptions!$B$15*($H$7-1)</f>
        <v>151436.942278218</v>
      </c>
      <c r="I525" s="16" t="n">
        <f aca="false">G525+H525</f>
        <v>177474.319233282</v>
      </c>
    </row>
    <row r="526" customFormat="false" ht="15" hidden="false" customHeight="true" outlineLevel="0" collapsed="false">
      <c r="A526" s="4" t="s">
        <v>303</v>
      </c>
      <c r="B526" s="4" t="n">
        <v>216</v>
      </c>
      <c r="C526" s="24" t="n">
        <f aca="true">RAND()</f>
        <v>0.0789814874409287</v>
      </c>
      <c r="D526" s="25" t="n">
        <f aca="false">IF(C526&lt;(($C$7-$B$7)/($D$7-$B$7)),$B$7+SQRT(C526*($D$7-$B$7)*($C$7-$B$7)),$D$7-SQRT((1-C526)*($D$7-$B$7)*($D$7-$C$7)))</f>
        <v>11.7283698568682</v>
      </c>
      <c r="E526" s="26" t="n">
        <f aca="true">MAX(0,$E$7+$F$7*_xlfn.NORM.S.INV(RAND()))</f>
        <v>5.73682137078908</v>
      </c>
      <c r="F526" s="27" t="n">
        <f aca="false">1/(1+EXP(-03_Inputs_Assumptions!$B$14*(E526-03_Inputs_Assumptions!$B$5)))</f>
        <v>0.0215457666940452</v>
      </c>
      <c r="G526" s="28" t="n">
        <f aca="false">D526*04_Baseline_PnL!$B$15*F526*04_Baseline_PnL!$B$14</f>
        <v>72258.5241709062</v>
      </c>
      <c r="H526" s="28" t="n">
        <f aca="false">D526*03_Inputs_Assumptions!$B$13*01_Macro_Data!$B$97*($G$7-1)+D526*04_Baseline_PnL!$B$15*04_Baseline_PnL!$B$13*03_Inputs_Assumptions!$B$15*($H$7-1)</f>
        <v>119404.187838804</v>
      </c>
      <c r="I526" s="16" t="n">
        <f aca="false">G526+H526</f>
        <v>191662.71200971</v>
      </c>
    </row>
    <row r="527" customFormat="false" ht="15" hidden="false" customHeight="true" outlineLevel="0" collapsed="false">
      <c r="A527" s="4" t="s">
        <v>303</v>
      </c>
      <c r="B527" s="4" t="n">
        <v>217</v>
      </c>
      <c r="C527" s="24" t="n">
        <f aca="true">RAND()</f>
        <v>0.866644210058831</v>
      </c>
      <c r="D527" s="25" t="n">
        <f aca="false">IF(C527&lt;(($C$7-$B$7)/($D$7-$B$7)),$B$7+SQRT(C527*($D$7-$B$7)*($C$7-$B$7)),$D$7-SQRT((1-C527)*($D$7-$B$7)*($D$7-$C$7)))</f>
        <v>23.5911324477814</v>
      </c>
      <c r="E527" s="26" t="n">
        <f aca="true">MAX(0,$E$7+$F$7*_xlfn.NORM.S.INV(RAND()))</f>
        <v>2.81244597550111</v>
      </c>
      <c r="F527" s="27" t="n">
        <f aca="false">1/(1+EXP(-03_Inputs_Assumptions!$B$14*(E527-03_Inputs_Assumptions!$B$5)))</f>
        <v>0.0104889510798478</v>
      </c>
      <c r="G527" s="28" t="n">
        <f aca="false">D527*04_Baseline_PnL!$B$15*F527*04_Baseline_PnL!$B$14</f>
        <v>70757.1497056022</v>
      </c>
      <c r="H527" s="28" t="n">
        <f aca="false">D527*03_Inputs_Assumptions!$B$13*01_Macro_Data!$B$97*($G$7-1)+D527*04_Baseline_PnL!$B$15*04_Baseline_PnL!$B$13*03_Inputs_Assumptions!$B$15*($H$7-1)</f>
        <v>240176.601224373</v>
      </c>
      <c r="I527" s="16" t="n">
        <f aca="false">G527+H527</f>
        <v>310933.750929976</v>
      </c>
    </row>
    <row r="528" customFormat="false" ht="15" hidden="false" customHeight="true" outlineLevel="0" collapsed="false">
      <c r="A528" s="4" t="s">
        <v>303</v>
      </c>
      <c r="B528" s="4" t="n">
        <v>218</v>
      </c>
      <c r="C528" s="24" t="n">
        <f aca="true">RAND()</f>
        <v>0.734411507730332</v>
      </c>
      <c r="D528" s="25" t="n">
        <f aca="false">IF(C528&lt;(($C$7-$B$7)/($D$7-$B$7)),$B$7+SQRT(C528*($D$7-$B$7)*($C$7-$B$7)),$D$7-SQRT((1-C528)*($D$7-$B$7)*($D$7-$C$7)))</f>
        <v>20.9555953419223</v>
      </c>
      <c r="E528" s="26" t="n">
        <f aca="true">MAX(0,$E$7+$F$7*_xlfn.NORM.S.INV(RAND()))</f>
        <v>2.81976798141707</v>
      </c>
      <c r="F528" s="27" t="n">
        <f aca="false">1/(1+EXP(-03_Inputs_Assumptions!$B$14*(E528-03_Inputs_Assumptions!$B$5)))</f>
        <v>0.0105079667657363</v>
      </c>
      <c r="G528" s="28" t="n">
        <f aca="false">D528*04_Baseline_PnL!$B$15*F528*04_Baseline_PnL!$B$14</f>
        <v>62966.3001583924</v>
      </c>
      <c r="H528" s="28" t="n">
        <f aca="false">D528*03_Inputs_Assumptions!$B$13*01_Macro_Data!$B$97*($G$7-1)+D528*04_Baseline_PnL!$B$15*04_Baseline_PnL!$B$13*03_Inputs_Assumptions!$B$15*($H$7-1)</f>
        <v>213344.725057043</v>
      </c>
      <c r="I528" s="16" t="n">
        <f aca="false">G528+H528</f>
        <v>276311.025215435</v>
      </c>
    </row>
    <row r="529" customFormat="false" ht="15" hidden="false" customHeight="true" outlineLevel="0" collapsed="false">
      <c r="A529" s="4" t="s">
        <v>303</v>
      </c>
      <c r="B529" s="4" t="n">
        <v>219</v>
      </c>
      <c r="C529" s="24" t="n">
        <f aca="true">RAND()</f>
        <v>0.639457913359967</v>
      </c>
      <c r="D529" s="25" t="n">
        <f aca="false">IF(C529&lt;(($C$7-$B$7)/($D$7-$B$7)),$B$7+SQRT(C529*($D$7-$B$7)*($C$7-$B$7)),$D$7-SQRT((1-C529)*($D$7-$B$7)*($D$7-$C$7)))</f>
        <v>19.4621177324317</v>
      </c>
      <c r="E529" s="26" t="n">
        <f aca="true">MAX(0,$E$7+$F$7*_xlfn.NORM.S.INV(RAND()))</f>
        <v>3.3518223070683</v>
      </c>
      <c r="F529" s="27" t="n">
        <f aca="false">1/(1+EXP(-03_Inputs_Assumptions!$B$14*(E529-03_Inputs_Assumptions!$B$5)))</f>
        <v>0.0119849714469578</v>
      </c>
      <c r="G529" s="28" t="n">
        <f aca="false">D529*04_Baseline_PnL!$B$15*F529*04_Baseline_PnL!$B$14</f>
        <v>66698.5788326963</v>
      </c>
      <c r="H529" s="28" t="n">
        <f aca="false">D529*03_Inputs_Assumptions!$B$13*01_Macro_Data!$B$97*($G$7-1)+D529*04_Baseline_PnL!$B$15*04_Baseline_PnL!$B$13*03_Inputs_Assumptions!$B$15*($H$7-1)</f>
        <v>198139.928210341</v>
      </c>
      <c r="I529" s="16" t="n">
        <f aca="false">G529+H529</f>
        <v>264838.507043037</v>
      </c>
    </row>
    <row r="530" customFormat="false" ht="15" hidden="false" customHeight="true" outlineLevel="0" collapsed="false">
      <c r="A530" s="4" t="s">
        <v>303</v>
      </c>
      <c r="B530" s="4" t="n">
        <v>220</v>
      </c>
      <c r="C530" s="24" t="n">
        <f aca="true">RAND()</f>
        <v>0.952992607795216</v>
      </c>
      <c r="D530" s="25" t="n">
        <f aca="false">IF(C530&lt;(($C$7-$B$7)/($D$7-$B$7)),$B$7+SQRT(C530*($D$7-$B$7)*($C$7-$B$7)),$D$7-SQRT((1-C530)*($D$7-$B$7)*($D$7-$C$7)))</f>
        <v>26.1949669122236</v>
      </c>
      <c r="E530" s="26" t="n">
        <f aca="true">MAX(0,$E$7+$F$7*_xlfn.NORM.S.INV(RAND()))</f>
        <v>0</v>
      </c>
      <c r="F530" s="27" t="n">
        <f aca="false">1/(1+EXP(-03_Inputs_Assumptions!$B$14*(E530-03_Inputs_Assumptions!$B$5)))</f>
        <v>0.0052201256935584</v>
      </c>
      <c r="G530" s="28" t="n">
        <f aca="false">D530*04_Baseline_PnL!$B$15*F530*04_Baseline_PnL!$B$14</f>
        <v>39101.0388299399</v>
      </c>
      <c r="H530" s="28" t="n">
        <f aca="false">D530*03_Inputs_Assumptions!$B$13*01_Macro_Data!$B$97*($G$7-1)+D530*04_Baseline_PnL!$B$15*04_Baseline_PnL!$B$13*03_Inputs_Assumptions!$B$15*($H$7-1)</f>
        <v>266685.719139966</v>
      </c>
      <c r="I530" s="16" t="n">
        <f aca="false">G530+H530</f>
        <v>305786.757969906</v>
      </c>
    </row>
    <row r="531" customFormat="false" ht="15" hidden="false" customHeight="true" outlineLevel="0" collapsed="false">
      <c r="A531" s="4" t="s">
        <v>303</v>
      </c>
      <c r="B531" s="4" t="n">
        <v>221</v>
      </c>
      <c r="C531" s="24" t="n">
        <f aca="true">RAND()</f>
        <v>0.791015395030777</v>
      </c>
      <c r="D531" s="25" t="n">
        <f aca="false">IF(C531&lt;(($C$7-$B$7)/($D$7-$B$7)),$B$7+SQRT(C531*($D$7-$B$7)*($C$7-$B$7)),$D$7-SQRT((1-C531)*($D$7-$B$7)*($D$7-$C$7)))</f>
        <v>21.9770791895644</v>
      </c>
      <c r="E531" s="26" t="n">
        <f aca="true">MAX(0,$E$7+$F$7*_xlfn.NORM.S.INV(RAND()))</f>
        <v>3.66443126087414</v>
      </c>
      <c r="F531" s="27" t="n">
        <f aca="false">1/(1+EXP(-03_Inputs_Assumptions!$B$14*(E531-03_Inputs_Assumptions!$B$5)))</f>
        <v>0.0129465840406002</v>
      </c>
      <c r="G531" s="28" t="n">
        <f aca="false">D531*04_Baseline_PnL!$B$15*F531*04_Baseline_PnL!$B$14</f>
        <v>81360.6948835328</v>
      </c>
      <c r="H531" s="28" t="n">
        <f aca="false">D531*03_Inputs_Assumptions!$B$13*01_Macro_Data!$B$97*($G$7-1)+D531*04_Baseline_PnL!$B$15*04_Baseline_PnL!$B$13*03_Inputs_Assumptions!$B$15*($H$7-1)</f>
        <v>223744.247813117</v>
      </c>
      <c r="I531" s="16" t="n">
        <f aca="false">G531+H531</f>
        <v>305104.94269665</v>
      </c>
    </row>
    <row r="532" customFormat="false" ht="15" hidden="false" customHeight="true" outlineLevel="0" collapsed="false">
      <c r="A532" s="4" t="s">
        <v>303</v>
      </c>
      <c r="B532" s="4" t="n">
        <v>222</v>
      </c>
      <c r="C532" s="24" t="n">
        <f aca="true">RAND()</f>
        <v>0.139352754149281</v>
      </c>
      <c r="D532" s="25" t="n">
        <f aca="false">IF(C532&lt;(($C$7-$B$7)/($D$7-$B$7)),$B$7+SQRT(C532*($D$7-$B$7)*($C$7-$B$7)),$D$7-SQRT((1-C532)*($D$7-$B$7)*($D$7-$C$7)))</f>
        <v>12.9523817229969</v>
      </c>
      <c r="E532" s="26" t="n">
        <f aca="true">MAX(0,$E$7+$F$7*_xlfn.NORM.S.INV(RAND()))</f>
        <v>3.99772786045538</v>
      </c>
      <c r="F532" s="27" t="n">
        <f aca="false">1/(1+EXP(-03_Inputs_Assumptions!$B$14*(E532-03_Inputs_Assumptions!$B$5)))</f>
        <v>0.0140557529352754</v>
      </c>
      <c r="G532" s="28" t="n">
        <f aca="false">D532*04_Baseline_PnL!$B$15*F532*04_Baseline_PnL!$B$14</f>
        <v>52058.6894936359</v>
      </c>
      <c r="H532" s="28" t="n">
        <f aca="false">D532*03_Inputs_Assumptions!$B$13*01_Macro_Data!$B$97*($G$7-1)+D532*04_Baseline_PnL!$B$15*04_Baseline_PnL!$B$13*03_Inputs_Assumptions!$B$15*($H$7-1)</f>
        <v>131865.607845487</v>
      </c>
      <c r="I532" s="16" t="n">
        <f aca="false">G532+H532</f>
        <v>183924.297339123</v>
      </c>
    </row>
    <row r="533" customFormat="false" ht="15" hidden="false" customHeight="true" outlineLevel="0" collapsed="false">
      <c r="A533" s="4" t="s">
        <v>303</v>
      </c>
      <c r="B533" s="4" t="n">
        <v>223</v>
      </c>
      <c r="C533" s="24" t="n">
        <f aca="true">RAND()</f>
        <v>0.69180574742135</v>
      </c>
      <c r="D533" s="25" t="n">
        <f aca="false">IF(C533&lt;(($C$7-$B$7)/($D$7-$B$7)),$B$7+SQRT(C533*($D$7-$B$7)*($C$7-$B$7)),$D$7-SQRT((1-C533)*($D$7-$B$7)*($D$7-$C$7)))</f>
        <v>20.2571138878552</v>
      </c>
      <c r="E533" s="26" t="n">
        <f aca="true">MAX(0,$E$7+$F$7*_xlfn.NORM.S.INV(RAND()))</f>
        <v>1.77816549118213</v>
      </c>
      <c r="F533" s="27" t="n">
        <f aca="false">1/(1+EXP(-03_Inputs_Assumptions!$B$14*(E533-03_Inputs_Assumptions!$B$5)))</f>
        <v>0.00811849685348988</v>
      </c>
      <c r="G533" s="28" t="n">
        <f aca="false">D533*04_Baseline_PnL!$B$15*F533*04_Baseline_PnL!$B$14</f>
        <v>47026.5022315808</v>
      </c>
      <c r="H533" s="28" t="n">
        <f aca="false">D533*03_Inputs_Assumptions!$B$13*01_Macro_Data!$B$97*($G$7-1)+D533*04_Baseline_PnL!$B$15*04_Baseline_PnL!$B$13*03_Inputs_Assumptions!$B$15*($H$7-1)</f>
        <v>206233.625069476</v>
      </c>
      <c r="I533" s="16" t="n">
        <f aca="false">G533+H533</f>
        <v>253260.127301057</v>
      </c>
    </row>
    <row r="534" customFormat="false" ht="15" hidden="false" customHeight="true" outlineLevel="0" collapsed="false">
      <c r="A534" s="4" t="s">
        <v>303</v>
      </c>
      <c r="B534" s="4" t="n">
        <v>224</v>
      </c>
      <c r="C534" s="24" t="n">
        <f aca="true">RAND()</f>
        <v>0.55729247292624</v>
      </c>
      <c r="D534" s="25" t="n">
        <f aca="false">IF(C534&lt;(($C$7-$B$7)/($D$7-$B$7)),$B$7+SQRT(C534*($D$7-$B$7)*($C$7-$B$7)),$D$7-SQRT((1-C534)*($D$7-$B$7)*($D$7-$C$7)))</f>
        <v>18.3229319459584</v>
      </c>
      <c r="E534" s="26" t="n">
        <f aca="true">MAX(0,$E$7+$F$7*_xlfn.NORM.S.INV(RAND()))</f>
        <v>2.8231425972867</v>
      </c>
      <c r="F534" s="27" t="n">
        <f aca="false">1/(1+EXP(-03_Inputs_Assumptions!$B$14*(E534-03_Inputs_Assumptions!$B$5)))</f>
        <v>0.0105167423229894</v>
      </c>
      <c r="G534" s="28" t="n">
        <f aca="false">D534*04_Baseline_PnL!$B$15*F534*04_Baseline_PnL!$B$14</f>
        <v>55101.786914322</v>
      </c>
      <c r="H534" s="28" t="n">
        <f aca="false">D534*03_Inputs_Assumptions!$B$13*01_Macro_Data!$B$97*($G$7-1)+D534*04_Baseline_PnL!$B$15*04_Baseline_PnL!$B$13*03_Inputs_Assumptions!$B$15*($H$7-1)</f>
        <v>186542.105555414</v>
      </c>
      <c r="I534" s="16" t="n">
        <f aca="false">G534+H534</f>
        <v>241643.892469736</v>
      </c>
    </row>
    <row r="535" customFormat="false" ht="15" hidden="false" customHeight="true" outlineLevel="0" collapsed="false">
      <c r="A535" s="4" t="s">
        <v>303</v>
      </c>
      <c r="B535" s="4" t="n">
        <v>225</v>
      </c>
      <c r="C535" s="24" t="n">
        <f aca="true">RAND()</f>
        <v>0.0487360497681721</v>
      </c>
      <c r="D535" s="25" t="n">
        <f aca="false">IF(C535&lt;(($C$7-$B$7)/($D$7-$B$7)),$B$7+SQRT(C535*($D$7-$B$7)*($C$7-$B$7)),$D$7-SQRT((1-C535)*($D$7-$B$7)*($D$7-$C$7)))</f>
        <v>10.928744570494</v>
      </c>
      <c r="E535" s="26" t="n">
        <f aca="true">MAX(0,$E$7+$F$7*_xlfn.NORM.S.INV(RAND()))</f>
        <v>4.18016885478022</v>
      </c>
      <c r="F535" s="27" t="n">
        <f aca="false">1/(1+EXP(-03_Inputs_Assumptions!$B$14*(E535-03_Inputs_Assumptions!$B$5)))</f>
        <v>0.0147020406796704</v>
      </c>
      <c r="G535" s="28" t="n">
        <f aca="false">D535*04_Baseline_PnL!$B$15*F535*04_Baseline_PnL!$B$14</f>
        <v>45944.9070197848</v>
      </c>
      <c r="H535" s="28" t="n">
        <f aca="false">D535*03_Inputs_Assumptions!$B$13*01_Macro_Data!$B$97*($G$7-1)+D535*04_Baseline_PnL!$B$15*04_Baseline_PnL!$B$13*03_Inputs_Assumptions!$B$15*($H$7-1)</f>
        <v>111263.362723286</v>
      </c>
      <c r="I535" s="16" t="n">
        <f aca="false">G535+H535</f>
        <v>157208.269743071</v>
      </c>
    </row>
    <row r="536" customFormat="false" ht="15" hidden="false" customHeight="true" outlineLevel="0" collapsed="false">
      <c r="A536" s="4" t="s">
        <v>303</v>
      </c>
      <c r="B536" s="4" t="n">
        <v>226</v>
      </c>
      <c r="C536" s="24" t="n">
        <f aca="true">RAND()</f>
        <v>0.925723256259963</v>
      </c>
      <c r="D536" s="25" t="n">
        <f aca="false">IF(C536&lt;(($C$7-$B$7)/($D$7-$B$7)),$B$7+SQRT(C536*($D$7-$B$7)*($C$7-$B$7)),$D$7-SQRT((1-C536)*($D$7-$B$7)*($D$7-$C$7)))</f>
        <v>25.2169845210441</v>
      </c>
      <c r="E536" s="26" t="n">
        <f aca="true">MAX(0,$E$7+$F$7*_xlfn.NORM.S.INV(RAND()))</f>
        <v>3.97443342726926</v>
      </c>
      <c r="F536" s="27" t="n">
        <f aca="false">1/(1+EXP(-03_Inputs_Assumptions!$B$14*(E536-03_Inputs_Assumptions!$B$5)))</f>
        <v>0.013975276244696</v>
      </c>
      <c r="G536" s="28" t="n">
        <f aca="false">D536*04_Baseline_PnL!$B$15*F536*04_Baseline_PnL!$B$14</f>
        <v>100772.732381083</v>
      </c>
      <c r="H536" s="28" t="n">
        <f aca="false">D536*03_Inputs_Assumptions!$B$13*01_Macro_Data!$B$97*($G$7-1)+D536*04_Baseline_PnL!$B$15*04_Baseline_PnL!$B$13*03_Inputs_Assumptions!$B$15*($H$7-1)</f>
        <v>256729.076011846</v>
      </c>
      <c r="I536" s="16" t="n">
        <f aca="false">G536+H536</f>
        <v>357501.808392929</v>
      </c>
    </row>
    <row r="537" customFormat="false" ht="15" hidden="false" customHeight="true" outlineLevel="0" collapsed="false">
      <c r="A537" s="4" t="s">
        <v>303</v>
      </c>
      <c r="B537" s="4" t="n">
        <v>227</v>
      </c>
      <c r="C537" s="24" t="n">
        <f aca="true">RAND()</f>
        <v>0.50005249689432</v>
      </c>
      <c r="D537" s="25" t="n">
        <f aca="false">IF(C537&lt;(($C$7-$B$7)/($D$7-$B$7)),$B$7+SQRT(C537*($D$7-$B$7)*($C$7-$B$7)),$D$7-SQRT((1-C537)*($D$7-$B$7)*($D$7-$C$7)))</f>
        <v>17.590977840436</v>
      </c>
      <c r="E537" s="26" t="n">
        <f aca="true">MAX(0,$E$7+$F$7*_xlfn.NORM.S.INV(RAND()))</f>
        <v>3.9340703169204</v>
      </c>
      <c r="F537" s="27" t="n">
        <f aca="false">1/(1+EXP(-03_Inputs_Assumptions!$B$14*(E537-03_Inputs_Assumptions!$B$5)))</f>
        <v>0.0138369054488094</v>
      </c>
      <c r="G537" s="28" t="n">
        <f aca="false">D537*04_Baseline_PnL!$B$15*F537*04_Baseline_PnL!$B$14</f>
        <v>69601.4738399494</v>
      </c>
      <c r="H537" s="28" t="n">
        <f aca="false">D537*03_Inputs_Assumptions!$B$13*01_Macro_Data!$B$97*($G$7-1)+D537*04_Baseline_PnL!$B$15*04_Baseline_PnL!$B$13*03_Inputs_Assumptions!$B$15*($H$7-1)</f>
        <v>179090.227197911</v>
      </c>
      <c r="I537" s="16" t="n">
        <f aca="false">G537+H537</f>
        <v>248691.701037861</v>
      </c>
    </row>
    <row r="538" customFormat="false" ht="15" hidden="false" customHeight="true" outlineLevel="0" collapsed="false">
      <c r="A538" s="4" t="s">
        <v>303</v>
      </c>
      <c r="B538" s="4" t="n">
        <v>228</v>
      </c>
      <c r="C538" s="24" t="n">
        <f aca="true">RAND()</f>
        <v>0.872535429461236</v>
      </c>
      <c r="D538" s="25" t="n">
        <f aca="false">IF(C538&lt;(($C$7-$B$7)/($D$7-$B$7)),$B$7+SQRT(C538*($D$7-$B$7)*($C$7-$B$7)),$D$7-SQRT((1-C538)*($D$7-$B$7)*($D$7-$C$7)))</f>
        <v>23.7342927194179</v>
      </c>
      <c r="E538" s="26" t="n">
        <f aca="true">MAX(0,$E$7+$F$7*_xlfn.NORM.S.INV(RAND()))</f>
        <v>6.58263403557321</v>
      </c>
      <c r="F538" s="27" t="n">
        <f aca="false">1/(1+EXP(-03_Inputs_Assumptions!$B$14*(E538-03_Inputs_Assumptions!$B$5)))</f>
        <v>0.0264848248506452</v>
      </c>
      <c r="G538" s="28" t="n">
        <f aca="false">D538*04_Baseline_PnL!$B$15*F538*04_Baseline_PnL!$B$14</f>
        <v>179747.509104114</v>
      </c>
      <c r="H538" s="28" t="n">
        <f aca="false">D538*03_Inputs_Assumptions!$B$13*01_Macro_Data!$B$97*($G$7-1)+D538*04_Baseline_PnL!$B$15*04_Baseline_PnL!$B$13*03_Inputs_Assumptions!$B$15*($H$7-1)</f>
        <v>241634.08731785</v>
      </c>
      <c r="I538" s="16" t="n">
        <f aca="false">G538+H538</f>
        <v>421381.596421965</v>
      </c>
    </row>
    <row r="539" customFormat="false" ht="15" hidden="false" customHeight="true" outlineLevel="0" collapsed="false">
      <c r="A539" s="4" t="s">
        <v>303</v>
      </c>
      <c r="B539" s="4" t="n">
        <v>229</v>
      </c>
      <c r="C539" s="24" t="n">
        <f aca="true">RAND()</f>
        <v>0.364669263491947</v>
      </c>
      <c r="D539" s="25" t="n">
        <f aca="false">IF(C539&lt;(($C$7-$B$7)/($D$7-$B$7)),$B$7+SQRT(C539*($D$7-$B$7)*($C$7-$B$7)),$D$7-SQRT((1-C539)*($D$7-$B$7)*($D$7-$C$7)))</f>
        <v>16.0113665126117</v>
      </c>
      <c r="E539" s="26" t="n">
        <f aca="true">MAX(0,$E$7+$F$7*_xlfn.NORM.S.INV(RAND()))</f>
        <v>1.4232960916408</v>
      </c>
      <c r="F539" s="27" t="n">
        <f aca="false">1/(1+EXP(-03_Inputs_Assumptions!$B$14*(E539-03_Inputs_Assumptions!$B$5)))</f>
        <v>0.00743439447852553</v>
      </c>
      <c r="G539" s="28" t="n">
        <f aca="false">D539*04_Baseline_PnL!$B$15*F539*04_Baseline_PnL!$B$14</f>
        <v>34037.9567267176</v>
      </c>
      <c r="H539" s="28" t="n">
        <f aca="false">D539*03_Inputs_Assumptions!$B$13*01_Macro_Data!$B$97*($G$7-1)+D539*04_Baseline_PnL!$B$15*04_Baseline_PnL!$B$13*03_Inputs_Assumptions!$B$15*($H$7-1)</f>
        <v>163008.520191598</v>
      </c>
      <c r="I539" s="16" t="n">
        <f aca="false">G539+H539</f>
        <v>197046.476918315</v>
      </c>
    </row>
    <row r="540" customFormat="false" ht="15" hidden="false" customHeight="true" outlineLevel="0" collapsed="false">
      <c r="A540" s="4" t="s">
        <v>303</v>
      </c>
      <c r="B540" s="4" t="n">
        <v>230</v>
      </c>
      <c r="C540" s="24" t="n">
        <f aca="true">RAND()</f>
        <v>0.266838522303802</v>
      </c>
      <c r="D540" s="25" t="n">
        <f aca="false">IF(C540&lt;(($C$7-$B$7)/($D$7-$B$7)),$B$7+SQRT(C540*($D$7-$B$7)*($C$7-$B$7)),$D$7-SQRT((1-C540)*($D$7-$B$7)*($D$7-$C$7)))</f>
        <v>14.8529978787002</v>
      </c>
      <c r="E540" s="26" t="n">
        <f aca="true">MAX(0,$E$7+$F$7*_xlfn.NORM.S.INV(RAND()))</f>
        <v>5.33610275712573</v>
      </c>
      <c r="F540" s="27" t="n">
        <f aca="false">1/(1+EXP(-03_Inputs_Assumptions!$B$14*(E540-03_Inputs_Assumptions!$B$5)))</f>
        <v>0.019532029717307</v>
      </c>
      <c r="G540" s="28" t="n">
        <f aca="false">D540*04_Baseline_PnL!$B$15*F540*04_Baseline_PnL!$B$14</f>
        <v>82956.6062251799</v>
      </c>
      <c r="H540" s="28" t="n">
        <f aca="false">D540*03_Inputs_Assumptions!$B$13*01_Macro_Data!$B$97*($G$7-1)+D540*04_Baseline_PnL!$B$15*04_Baseline_PnL!$B$13*03_Inputs_Assumptions!$B$15*($H$7-1)</f>
        <v>151215.400803471</v>
      </c>
      <c r="I540" s="16" t="n">
        <f aca="false">G540+H540</f>
        <v>234172.007028651</v>
      </c>
    </row>
    <row r="541" customFormat="false" ht="15" hidden="false" customHeight="true" outlineLevel="0" collapsed="false">
      <c r="A541" s="4" t="s">
        <v>303</v>
      </c>
      <c r="B541" s="4" t="n">
        <v>231</v>
      </c>
      <c r="C541" s="24" t="n">
        <f aca="true">RAND()</f>
        <v>0.119534383577282</v>
      </c>
      <c r="D541" s="25" t="n">
        <f aca="false">IF(C541&lt;(($C$7-$B$7)/($D$7-$B$7)),$B$7+SQRT(C541*($D$7-$B$7)*($C$7-$B$7)),$D$7-SQRT((1-C541)*($D$7-$B$7)*($D$7-$C$7)))</f>
        <v>12.5867255760075</v>
      </c>
      <c r="E541" s="26" t="n">
        <f aca="true">MAX(0,$E$7+$F$7*_xlfn.NORM.S.INV(RAND()))</f>
        <v>2.77062138065167</v>
      </c>
      <c r="F541" s="27" t="n">
        <f aca="false">1/(1+EXP(-03_Inputs_Assumptions!$B$14*(E541-03_Inputs_Assumptions!$B$5)))</f>
        <v>0.0103809810307193</v>
      </c>
      <c r="G541" s="28" t="n">
        <f aca="false">D541*04_Baseline_PnL!$B$15*F541*04_Baseline_PnL!$B$14</f>
        <v>37362.9055650297</v>
      </c>
      <c r="H541" s="28" t="n">
        <f aca="false">D541*03_Inputs_Assumptions!$B$13*01_Macro_Data!$B$97*($G$7-1)+D541*04_Baseline_PnL!$B$15*04_Baseline_PnL!$B$13*03_Inputs_Assumptions!$B$15*($H$7-1)</f>
        <v>128142.935744218</v>
      </c>
      <c r="I541" s="16" t="n">
        <f aca="false">G541+H541</f>
        <v>165505.841309247</v>
      </c>
    </row>
    <row r="542" customFormat="false" ht="15" hidden="false" customHeight="true" outlineLevel="0" collapsed="false">
      <c r="A542" s="4" t="s">
        <v>303</v>
      </c>
      <c r="B542" s="4" t="n">
        <v>232</v>
      </c>
      <c r="C542" s="24" t="n">
        <f aca="true">RAND()</f>
        <v>0.520378361914032</v>
      </c>
      <c r="D542" s="25" t="n">
        <f aca="false">IF(C542&lt;(($C$7-$B$7)/($D$7-$B$7)),$B$7+SQRT(C542*($D$7-$B$7)*($C$7-$B$7)),$D$7-SQRT((1-C542)*($D$7-$B$7)*($D$7-$C$7)))</f>
        <v>17.8458457912334</v>
      </c>
      <c r="E542" s="26" t="n">
        <f aca="true">MAX(0,$E$7+$F$7*_xlfn.NORM.S.INV(RAND()))</f>
        <v>3.30827004591503</v>
      </c>
      <c r="F542" s="27" t="n">
        <f aca="false">1/(1+EXP(-03_Inputs_Assumptions!$B$14*(E542-03_Inputs_Assumptions!$B$5)))</f>
        <v>0.0118567249617898</v>
      </c>
      <c r="G542" s="28" t="n">
        <f aca="false">D542*04_Baseline_PnL!$B$15*F542*04_Baseline_PnL!$B$14</f>
        <v>60505.0135932964</v>
      </c>
      <c r="H542" s="28" t="n">
        <f aca="false">D542*03_Inputs_Assumptions!$B$13*01_Macro_Data!$B$97*($G$7-1)+D542*04_Baseline_PnL!$B$15*04_Baseline_PnL!$B$13*03_Inputs_Assumptions!$B$15*($H$7-1)</f>
        <v>181684.986831389</v>
      </c>
      <c r="I542" s="16" t="n">
        <f aca="false">G542+H542</f>
        <v>242190.000424686</v>
      </c>
    </row>
    <row r="543" customFormat="false" ht="15" hidden="false" customHeight="true" outlineLevel="0" collapsed="false">
      <c r="A543" s="4" t="s">
        <v>303</v>
      </c>
      <c r="B543" s="4" t="n">
        <v>233</v>
      </c>
      <c r="C543" s="24" t="n">
        <f aca="true">RAND()</f>
        <v>0.530363917396021</v>
      </c>
      <c r="D543" s="25" t="n">
        <f aca="false">IF(C543&lt;(($C$7-$B$7)/($D$7-$B$7)),$B$7+SQRT(C543*($D$7-$B$7)*($C$7-$B$7)),$D$7-SQRT((1-C543)*($D$7-$B$7)*($D$7-$C$7)))</f>
        <v>17.9730339053432</v>
      </c>
      <c r="E543" s="26" t="n">
        <f aca="true">MAX(0,$E$7+$F$7*_xlfn.NORM.S.INV(RAND()))</f>
        <v>4.6433757465567</v>
      </c>
      <c r="F543" s="27" t="n">
        <f aca="false">1/(1+EXP(-03_Inputs_Assumptions!$B$14*(E543-03_Inputs_Assumptions!$B$5)))</f>
        <v>0.0164773158643212</v>
      </c>
      <c r="G543" s="28" t="n">
        <f aca="false">D543*04_Baseline_PnL!$B$15*F543*04_Baseline_PnL!$B$14</f>
        <v>84683.215825508</v>
      </c>
      <c r="H543" s="28" t="n">
        <f aca="false">D543*03_Inputs_Assumptions!$B$13*01_Macro_Data!$B$97*($G$7-1)+D543*04_Baseline_PnL!$B$15*04_Baseline_PnL!$B$13*03_Inputs_Assumptions!$B$15*($H$7-1)</f>
        <v>182979.863583518</v>
      </c>
      <c r="I543" s="16" t="n">
        <f aca="false">G543+H543</f>
        <v>267663.079409026</v>
      </c>
    </row>
    <row r="544" customFormat="false" ht="15" hidden="false" customHeight="true" outlineLevel="0" collapsed="false">
      <c r="A544" s="4" t="s">
        <v>303</v>
      </c>
      <c r="B544" s="4" t="n">
        <v>234</v>
      </c>
      <c r="C544" s="24" t="n">
        <f aca="true">RAND()</f>
        <v>0.858032045316168</v>
      </c>
      <c r="D544" s="25" t="n">
        <f aca="false">IF(C544&lt;(($C$7-$B$7)/($D$7-$B$7)),$B$7+SQRT(C544*($D$7-$B$7)*($C$7-$B$7)),$D$7-SQRT((1-C544)*($D$7-$B$7)*($D$7-$C$7)))</f>
        <v>23.3874263676977</v>
      </c>
      <c r="E544" s="26" t="n">
        <f aca="true">MAX(0,$E$7+$F$7*_xlfn.NORM.S.INV(RAND()))</f>
        <v>2.86514146648634</v>
      </c>
      <c r="F544" s="27" t="n">
        <f aca="false">1/(1+EXP(-03_Inputs_Assumptions!$B$14*(E544-03_Inputs_Assumptions!$B$5)))</f>
        <v>0.0106265672853241</v>
      </c>
      <c r="G544" s="28" t="n">
        <f aca="false">D544*04_Baseline_PnL!$B$15*F544*04_Baseline_PnL!$B$14</f>
        <v>71066.4973414289</v>
      </c>
      <c r="H544" s="28" t="n">
        <f aca="false">D544*03_Inputs_Assumptions!$B$13*01_Macro_Data!$B$97*($G$7-1)+D544*04_Baseline_PnL!$B$15*04_Baseline_PnL!$B$13*03_Inputs_Assumptions!$B$15*($H$7-1)</f>
        <v>238102.710364256</v>
      </c>
      <c r="I544" s="16" t="n">
        <f aca="false">G544+H544</f>
        <v>309169.207705685</v>
      </c>
    </row>
    <row r="545" customFormat="false" ht="15" hidden="false" customHeight="true" outlineLevel="0" collapsed="false">
      <c r="A545" s="4" t="s">
        <v>303</v>
      </c>
      <c r="B545" s="4" t="n">
        <v>235</v>
      </c>
      <c r="C545" s="24" t="n">
        <f aca="true">RAND()</f>
        <v>0.139359869626504</v>
      </c>
      <c r="D545" s="25" t="n">
        <f aca="false">IF(C545&lt;(($C$7-$B$7)/($D$7-$B$7)),$B$7+SQRT(C545*($D$7-$B$7)*($C$7-$B$7)),$D$7-SQRT((1-C545)*($D$7-$B$7)*($D$7-$C$7)))</f>
        <v>12.9525081579201</v>
      </c>
      <c r="E545" s="26" t="n">
        <f aca="true">MAX(0,$E$7+$F$7*_xlfn.NORM.S.INV(RAND()))</f>
        <v>3.56123769593189</v>
      </c>
      <c r="F545" s="27" t="n">
        <f aca="false">1/(1+EXP(-03_Inputs_Assumptions!$B$14*(E545-03_Inputs_Assumptions!$B$5)))</f>
        <v>0.0126210160547876</v>
      </c>
      <c r="G545" s="28" t="n">
        <f aca="false">D545*04_Baseline_PnL!$B$15*F545*04_Baseline_PnL!$B$14</f>
        <v>46745.2702506679</v>
      </c>
      <c r="H545" s="28" t="n">
        <f aca="false">D545*03_Inputs_Assumptions!$B$13*01_Macro_Data!$B$97*($G$7-1)+D545*04_Baseline_PnL!$B$15*04_Baseline_PnL!$B$13*03_Inputs_Assumptions!$B$15*($H$7-1)</f>
        <v>131866.895054153</v>
      </c>
      <c r="I545" s="16" t="n">
        <f aca="false">G545+H545</f>
        <v>178612.165304821</v>
      </c>
    </row>
    <row r="546" customFormat="false" ht="15" hidden="false" customHeight="true" outlineLevel="0" collapsed="false">
      <c r="A546" s="4" t="s">
        <v>303</v>
      </c>
      <c r="B546" s="4" t="n">
        <v>236</v>
      </c>
      <c r="C546" s="24" t="n">
        <f aca="true">RAND()</f>
        <v>0.682817636470541</v>
      </c>
      <c r="D546" s="25" t="n">
        <f aca="false">IF(C546&lt;(($C$7-$B$7)/($D$7-$B$7)),$B$7+SQRT(C546*($D$7-$B$7)*($C$7-$B$7)),$D$7-SQRT((1-C546)*($D$7-$B$7)*($D$7-$C$7)))</f>
        <v>20.1160651576878</v>
      </c>
      <c r="E546" s="26" t="n">
        <f aca="true">MAX(0,$E$7+$F$7*_xlfn.NORM.S.INV(RAND()))</f>
        <v>4.32713947498118</v>
      </c>
      <c r="F546" s="27" t="n">
        <f aca="false">1/(1+EXP(-03_Inputs_Assumptions!$B$14*(E546-03_Inputs_Assumptions!$B$5)))</f>
        <v>0.0152438916237319</v>
      </c>
      <c r="G546" s="28" t="n">
        <f aca="false">D546*04_Baseline_PnL!$B$15*F546*04_Baseline_PnL!$B$14</f>
        <v>87685.6180456959</v>
      </c>
      <c r="H546" s="28" t="n">
        <f aca="false">D546*03_Inputs_Assumptions!$B$13*01_Macro_Data!$B$97*($G$7-1)+D546*04_Baseline_PnL!$B$15*04_Baseline_PnL!$B$13*03_Inputs_Assumptions!$B$15*($H$7-1)</f>
        <v>204797.636157388</v>
      </c>
      <c r="I546" s="16" t="n">
        <f aca="false">G546+H546</f>
        <v>292483.254203084</v>
      </c>
    </row>
    <row r="547" customFormat="false" ht="15" hidden="false" customHeight="true" outlineLevel="0" collapsed="false">
      <c r="A547" s="4" t="s">
        <v>303</v>
      </c>
      <c r="B547" s="4" t="n">
        <v>237</v>
      </c>
      <c r="C547" s="24" t="n">
        <f aca="true">RAND()</f>
        <v>0.34792437616977</v>
      </c>
      <c r="D547" s="25" t="n">
        <f aca="false">IF(C547&lt;(($C$7-$B$7)/($D$7-$B$7)),$B$7+SQRT(C547*($D$7-$B$7)*($C$7-$B$7)),$D$7-SQRT((1-C547)*($D$7-$B$7)*($D$7-$C$7)))</f>
        <v>15.8252597532529</v>
      </c>
      <c r="E547" s="26" t="n">
        <f aca="true">MAX(0,$E$7+$F$7*_xlfn.NORM.S.INV(RAND()))</f>
        <v>2.18352289605518</v>
      </c>
      <c r="F547" s="27" t="n">
        <f aca="false">1/(1+EXP(-03_Inputs_Assumptions!$B$14*(E547-03_Inputs_Assumptions!$B$5)))</f>
        <v>0.0089765793533517</v>
      </c>
      <c r="G547" s="28" t="n">
        <f aca="false">D547*04_Baseline_PnL!$B$15*F547*04_Baseline_PnL!$B$14</f>
        <v>40621.0553978687</v>
      </c>
      <c r="H547" s="28" t="n">
        <f aca="false">D547*03_Inputs_Assumptions!$B$13*01_Macro_Data!$B$97*($G$7-1)+D547*04_Baseline_PnL!$B$15*04_Baseline_PnL!$B$13*03_Inputs_Assumptions!$B$15*($H$7-1)</f>
        <v>161113.804495917</v>
      </c>
      <c r="I547" s="16" t="n">
        <f aca="false">G547+H547</f>
        <v>201734.859893786</v>
      </c>
    </row>
    <row r="548" customFormat="false" ht="15" hidden="false" customHeight="true" outlineLevel="0" collapsed="false">
      <c r="A548" s="4" t="s">
        <v>303</v>
      </c>
      <c r="B548" s="4" t="n">
        <v>238</v>
      </c>
      <c r="C548" s="24" t="n">
        <f aca="true">RAND()</f>
        <v>0.0469054619502174</v>
      </c>
      <c r="D548" s="25" t="n">
        <f aca="false">IF(C548&lt;(($C$7-$B$7)/($D$7-$B$7)),$B$7+SQRT(C548*($D$7-$B$7)*($C$7-$B$7)),$D$7-SQRT((1-C548)*($D$7-$B$7)*($D$7-$C$7)))</f>
        <v>10.8732144547942</v>
      </c>
      <c r="E548" s="26" t="n">
        <f aca="true">MAX(0,$E$7+$F$7*_xlfn.NORM.S.INV(RAND()))</f>
        <v>2.53337049837456</v>
      </c>
      <c r="F548" s="27" t="n">
        <f aca="false">1/(1+EXP(-03_Inputs_Assumptions!$B$14*(E548-03_Inputs_Assumptions!$B$5)))</f>
        <v>0.00978901328011358</v>
      </c>
      <c r="G548" s="28" t="n">
        <f aca="false">D548*04_Baseline_PnL!$B$15*F548*04_Baseline_PnL!$B$14</f>
        <v>30435.9143122054</v>
      </c>
      <c r="H548" s="28" t="n">
        <f aca="false">D548*03_Inputs_Assumptions!$B$13*01_Macro_Data!$B$97*($G$7-1)+D548*04_Baseline_PnL!$B$15*04_Baseline_PnL!$B$13*03_Inputs_Assumptions!$B$15*($H$7-1)</f>
        <v>110698.021721369</v>
      </c>
      <c r="I548" s="16" t="n">
        <f aca="false">G548+H548</f>
        <v>141133.936033574</v>
      </c>
    </row>
    <row r="549" customFormat="false" ht="15" hidden="false" customHeight="true" outlineLevel="0" collapsed="false">
      <c r="A549" s="4" t="s">
        <v>303</v>
      </c>
      <c r="B549" s="4" t="n">
        <v>239</v>
      </c>
      <c r="C549" s="24" t="n">
        <f aca="true">RAND()</f>
        <v>0.830232747471682</v>
      </c>
      <c r="D549" s="25" t="n">
        <f aca="false">IF(C549&lt;(($C$7-$B$7)/($D$7-$B$7)),$B$7+SQRT(C549*($D$7-$B$7)*($C$7-$B$7)),$D$7-SQRT((1-C549)*($D$7-$B$7)*($D$7-$C$7)))</f>
        <v>22.7689341187677</v>
      </c>
      <c r="E549" s="26" t="n">
        <f aca="true">MAX(0,$E$7+$F$7*_xlfn.NORM.S.INV(RAND()))</f>
        <v>5.25861432767935</v>
      </c>
      <c r="F549" s="27" t="n">
        <f aca="false">1/(1+EXP(-03_Inputs_Assumptions!$B$14*(E549-03_Inputs_Assumptions!$B$5)))</f>
        <v>0.0191644761674422</v>
      </c>
      <c r="G549" s="28" t="n">
        <f aca="false">D549*04_Baseline_PnL!$B$15*F549*04_Baseline_PnL!$B$14</f>
        <v>124775.447090187</v>
      </c>
      <c r="H549" s="28" t="n">
        <f aca="false">D549*03_Inputs_Assumptions!$B$13*01_Macro_Data!$B$97*($G$7-1)+D549*04_Baseline_PnL!$B$15*04_Baseline_PnL!$B$13*03_Inputs_Assumptions!$B$15*($H$7-1)</f>
        <v>231805.96447635</v>
      </c>
      <c r="I549" s="16" t="n">
        <f aca="false">G549+H549</f>
        <v>356581.411566537</v>
      </c>
    </row>
    <row r="550" customFormat="false" ht="15" hidden="false" customHeight="true" outlineLevel="0" collapsed="false">
      <c r="A550" s="4" t="s">
        <v>303</v>
      </c>
      <c r="B550" s="4" t="n">
        <v>240</v>
      </c>
      <c r="C550" s="24" t="n">
        <f aca="true">RAND()</f>
        <v>0.880024519034789</v>
      </c>
      <c r="D550" s="25" t="n">
        <f aca="false">IF(C550&lt;(($C$7-$B$7)/($D$7-$B$7)),$B$7+SQRT(C550*($D$7-$B$7)*($C$7-$B$7)),$D$7-SQRT((1-C550)*($D$7-$B$7)*($D$7-$C$7)))</f>
        <v>23.9211474654105</v>
      </c>
      <c r="E550" s="26" t="n">
        <f aca="true">MAX(0,$E$7+$F$7*_xlfn.NORM.S.INV(RAND()))</f>
        <v>2.44827594163374</v>
      </c>
      <c r="F550" s="27" t="n">
        <f aca="false">1/(1+EXP(-03_Inputs_Assumptions!$B$14*(E550-03_Inputs_Assumptions!$B$5)))</f>
        <v>0.00958493977694545</v>
      </c>
      <c r="G550" s="28" t="n">
        <f aca="false">D550*04_Baseline_PnL!$B$15*F550*04_Baseline_PnL!$B$14</f>
        <v>65563.3110646494</v>
      </c>
      <c r="H550" s="28" t="n">
        <f aca="false">D550*03_Inputs_Assumptions!$B$13*01_Macro_Data!$B$97*($G$7-1)+D550*04_Baseline_PnL!$B$15*04_Baseline_PnL!$B$13*03_Inputs_Assumptions!$B$15*($H$7-1)</f>
        <v>243536.418115852</v>
      </c>
      <c r="I550" s="16" t="n">
        <f aca="false">G550+H550</f>
        <v>309099.729180501</v>
      </c>
    </row>
    <row r="551" customFormat="false" ht="15" hidden="false" customHeight="true" outlineLevel="0" collapsed="false">
      <c r="A551" s="4" t="s">
        <v>303</v>
      </c>
      <c r="B551" s="4" t="n">
        <v>241</v>
      </c>
      <c r="C551" s="24" t="n">
        <f aca="true">RAND()</f>
        <v>0.439945889849523</v>
      </c>
      <c r="D551" s="25" t="n">
        <f aca="false">IF(C551&lt;(($C$7-$B$7)/($D$7-$B$7)),$B$7+SQRT(C551*($D$7-$B$7)*($C$7-$B$7)),$D$7-SQRT((1-C551)*($D$7-$B$7)*($D$7-$C$7)))</f>
        <v>16.8662013900644</v>
      </c>
      <c r="E551" s="26" t="n">
        <f aca="true">MAX(0,$E$7+$F$7*_xlfn.NORM.S.INV(RAND()))</f>
        <v>3.16553115560435</v>
      </c>
      <c r="F551" s="27" t="n">
        <f aca="false">1/(1+EXP(-03_Inputs_Assumptions!$B$14*(E551-03_Inputs_Assumptions!$B$5)))</f>
        <v>0.0114458385844028</v>
      </c>
      <c r="G551" s="28" t="n">
        <f aca="false">D551*04_Baseline_PnL!$B$15*F551*04_Baseline_PnL!$B$14</f>
        <v>55201.9449810846</v>
      </c>
      <c r="H551" s="28" t="n">
        <f aca="false">D551*03_Inputs_Assumptions!$B$13*01_Macro_Data!$B$97*($G$7-1)+D551*04_Baseline_PnL!$B$15*04_Baseline_PnL!$B$13*03_Inputs_Assumptions!$B$15*($H$7-1)</f>
        <v>171711.423111968</v>
      </c>
      <c r="I551" s="16" t="n">
        <f aca="false">G551+H551</f>
        <v>226913.368093052</v>
      </c>
    </row>
    <row r="552" customFormat="false" ht="15" hidden="false" customHeight="true" outlineLevel="0" collapsed="false">
      <c r="A552" s="4" t="s">
        <v>303</v>
      </c>
      <c r="B552" s="4" t="n">
        <v>242</v>
      </c>
      <c r="C552" s="24" t="n">
        <f aca="true">RAND()</f>
        <v>0.585873340174576</v>
      </c>
      <c r="D552" s="25" t="n">
        <f aca="false">IF(C552&lt;(($C$7-$B$7)/($D$7-$B$7)),$B$7+SQRT(C552*($D$7-$B$7)*($C$7-$B$7)),$D$7-SQRT((1-C552)*($D$7-$B$7)*($D$7-$C$7)))</f>
        <v>18.7061516201859</v>
      </c>
      <c r="E552" s="26" t="n">
        <f aca="true">MAX(0,$E$7+$F$7*_xlfn.NORM.S.INV(RAND()))</f>
        <v>4.20795707539092</v>
      </c>
      <c r="F552" s="27" t="n">
        <f aca="false">1/(1+EXP(-03_Inputs_Assumptions!$B$14*(E552-03_Inputs_Assumptions!$B$5)))</f>
        <v>0.0148030149789722</v>
      </c>
      <c r="G552" s="28" t="n">
        <f aca="false">D552*04_Baseline_PnL!$B$15*F552*04_Baseline_PnL!$B$14</f>
        <v>79181.5702478624</v>
      </c>
      <c r="H552" s="28" t="n">
        <f aca="false">D552*03_Inputs_Assumptions!$B$13*01_Macro_Data!$B$97*($G$7-1)+D552*04_Baseline_PnL!$B$15*04_Baseline_PnL!$B$13*03_Inputs_Assumptions!$B$15*($H$7-1)</f>
        <v>190443.588414788</v>
      </c>
      <c r="I552" s="16" t="n">
        <f aca="false">G552+H552</f>
        <v>269625.158662651</v>
      </c>
    </row>
    <row r="553" customFormat="false" ht="15" hidden="false" customHeight="true" outlineLevel="0" collapsed="false">
      <c r="A553" s="4" t="s">
        <v>303</v>
      </c>
      <c r="B553" s="4" t="n">
        <v>243</v>
      </c>
      <c r="C553" s="24" t="n">
        <f aca="true">RAND()</f>
        <v>0.212355525143612</v>
      </c>
      <c r="D553" s="25" t="n">
        <f aca="false">IF(C553&lt;(($C$7-$B$7)/($D$7-$B$7)),$B$7+SQRT(C553*($D$7-$B$7)*($C$7-$B$7)),$D$7-SQRT((1-C553)*($D$7-$B$7)*($D$7-$C$7)))</f>
        <v>14.1134746605573</v>
      </c>
      <c r="E553" s="26" t="n">
        <f aca="true">MAX(0,$E$7+$F$7*_xlfn.NORM.S.INV(RAND()))</f>
        <v>1.96542231682927</v>
      </c>
      <c r="F553" s="27" t="n">
        <f aca="false">1/(1+EXP(-03_Inputs_Assumptions!$B$14*(E553-03_Inputs_Assumptions!$B$5)))</f>
        <v>0.00850428543259648</v>
      </c>
      <c r="G553" s="28" t="n">
        <f aca="false">D553*04_Baseline_PnL!$B$15*F553*04_Baseline_PnL!$B$14</f>
        <v>34321.104631555</v>
      </c>
      <c r="H553" s="28" t="n">
        <f aca="false">D553*03_Inputs_Assumptions!$B$13*01_Macro_Data!$B$97*($G$7-1)+D553*04_Baseline_PnL!$B$15*04_Baseline_PnL!$B$13*03_Inputs_Assumptions!$B$15*($H$7-1)</f>
        <v>143686.462824201</v>
      </c>
      <c r="I553" s="16" t="n">
        <f aca="false">G553+H553</f>
        <v>178007.567455756</v>
      </c>
    </row>
    <row r="554" customFormat="false" ht="15" hidden="false" customHeight="true" outlineLevel="0" collapsed="false">
      <c r="A554" s="4" t="s">
        <v>303</v>
      </c>
      <c r="B554" s="4" t="n">
        <v>244</v>
      </c>
      <c r="C554" s="24" t="n">
        <f aca="true">RAND()</f>
        <v>0.939212199253144</v>
      </c>
      <c r="D554" s="25" t="n">
        <f aca="false">IF(C554&lt;(($C$7-$B$7)/($D$7-$B$7)),$B$7+SQRT(C554*($D$7-$B$7)*($C$7-$B$7)),$D$7-SQRT((1-C554)*($D$7-$B$7)*($D$7-$C$7)))</f>
        <v>25.673033091179</v>
      </c>
      <c r="E554" s="26" t="n">
        <f aca="true">MAX(0,$E$7+$F$7*_xlfn.NORM.S.INV(RAND()))</f>
        <v>3.85555864035468</v>
      </c>
      <c r="F554" s="27" t="n">
        <f aca="false">1/(1+EXP(-03_Inputs_Assumptions!$B$14*(E554-03_Inputs_Assumptions!$B$5)))</f>
        <v>0.013571613776259</v>
      </c>
      <c r="G554" s="28" t="n">
        <f aca="false">D554*04_Baseline_PnL!$B$15*F554*04_Baseline_PnL!$B$14</f>
        <v>99631.8406445086</v>
      </c>
      <c r="H554" s="28" t="n">
        <f aca="false">D554*03_Inputs_Assumptions!$B$13*01_Macro_Data!$B$97*($G$7-1)+D554*04_Baseline_PnL!$B$15*04_Baseline_PnL!$B$13*03_Inputs_Assumptions!$B$15*($H$7-1)</f>
        <v>261372.015294676</v>
      </c>
      <c r="I554" s="16" t="n">
        <f aca="false">G554+H554</f>
        <v>361003.855939184</v>
      </c>
    </row>
    <row r="555" customFormat="false" ht="15" hidden="false" customHeight="true" outlineLevel="0" collapsed="false">
      <c r="A555" s="4" t="s">
        <v>303</v>
      </c>
      <c r="B555" s="4" t="n">
        <v>245</v>
      </c>
      <c r="C555" s="24" t="n">
        <f aca="true">RAND()</f>
        <v>0.423760900438249</v>
      </c>
      <c r="D555" s="25" t="n">
        <f aca="false">IF(C555&lt;(($C$7-$B$7)/($D$7-$B$7)),$B$7+SQRT(C555*($D$7-$B$7)*($C$7-$B$7)),$D$7-SQRT((1-C555)*($D$7-$B$7)*($D$7-$C$7)))</f>
        <v>16.6777763618449</v>
      </c>
      <c r="E555" s="26" t="n">
        <f aca="true">MAX(0,$E$7+$F$7*_xlfn.NORM.S.INV(RAND()))</f>
        <v>4.14074515949759</v>
      </c>
      <c r="F555" s="27" t="n">
        <f aca="false">1/(1+EXP(-03_Inputs_Assumptions!$B$14*(E555-03_Inputs_Assumptions!$B$5)))</f>
        <v>0.0145599496248752</v>
      </c>
      <c r="G555" s="28" t="n">
        <f aca="false">D555*04_Baseline_PnL!$B$15*F555*04_Baseline_PnL!$B$14</f>
        <v>69436.4484852824</v>
      </c>
      <c r="H555" s="28" t="n">
        <f aca="false">D555*03_Inputs_Assumptions!$B$13*01_Macro_Data!$B$97*($G$7-1)+D555*04_Baseline_PnL!$B$15*04_Baseline_PnL!$B$13*03_Inputs_Assumptions!$B$15*($H$7-1)</f>
        <v>169793.10558467</v>
      </c>
      <c r="I555" s="16" t="n">
        <f aca="false">G555+H555</f>
        <v>239229.554069953</v>
      </c>
    </row>
    <row r="556" customFormat="false" ht="15" hidden="false" customHeight="true" outlineLevel="0" collapsed="false">
      <c r="A556" s="4" t="s">
        <v>303</v>
      </c>
      <c r="B556" s="4" t="n">
        <v>246</v>
      </c>
      <c r="C556" s="24" t="n">
        <f aca="true">RAND()</f>
        <v>0.836032883856162</v>
      </c>
      <c r="D556" s="25" t="n">
        <f aca="false">IF(C556&lt;(($C$7-$B$7)/($D$7-$B$7)),$B$7+SQRT(C556*($D$7-$B$7)*($C$7-$B$7)),$D$7-SQRT((1-C556)*($D$7-$B$7)*($D$7-$C$7)))</f>
        <v>22.8935331020048</v>
      </c>
      <c r="E556" s="26" t="n">
        <f aca="true">MAX(0,$E$7+$F$7*_xlfn.NORM.S.INV(RAND()))</f>
        <v>2.27955131122763</v>
      </c>
      <c r="F556" s="27" t="n">
        <f aca="false">1/(1+EXP(-03_Inputs_Assumptions!$B$14*(E556-03_Inputs_Assumptions!$B$5)))</f>
        <v>0.00919268362671417</v>
      </c>
      <c r="G556" s="28" t="n">
        <f aca="false">D556*04_Baseline_PnL!$B$15*F556*04_Baseline_PnL!$B$14</f>
        <v>60178.9514635444</v>
      </c>
      <c r="H556" s="28" t="n">
        <f aca="false">D556*03_Inputs_Assumptions!$B$13*01_Macro_Data!$B$97*($G$7-1)+D556*04_Baseline_PnL!$B$15*04_Baseline_PnL!$B$13*03_Inputs_Assumptions!$B$15*($H$7-1)</f>
        <v>233074.48180489</v>
      </c>
      <c r="I556" s="16" t="n">
        <f aca="false">G556+H556</f>
        <v>293253.433268435</v>
      </c>
    </row>
    <row r="557" customFormat="false" ht="15" hidden="false" customHeight="true" outlineLevel="0" collapsed="false">
      <c r="A557" s="4" t="s">
        <v>303</v>
      </c>
      <c r="B557" s="4" t="n">
        <v>247</v>
      </c>
      <c r="C557" s="24" t="n">
        <f aca="true">RAND()</f>
        <v>0.00716965821475984</v>
      </c>
      <c r="D557" s="25" t="n">
        <f aca="false">IF(C557&lt;(($C$7-$B$7)/($D$7-$B$7)),$B$7+SQRT(C557*($D$7-$B$7)*($C$7-$B$7)),$D$7-SQRT((1-C557)*($D$7-$B$7)*($D$7-$C$7)))</f>
        <v>9.12332535171149</v>
      </c>
      <c r="E557" s="26" t="n">
        <f aca="true">MAX(0,$E$7+$F$7*_xlfn.NORM.S.INV(RAND()))</f>
        <v>1.98875270118776</v>
      </c>
      <c r="F557" s="27" t="n">
        <f aca="false">1/(1+EXP(-03_Inputs_Assumptions!$B$14*(E557-03_Inputs_Assumptions!$B$5)))</f>
        <v>0.00855360691433336</v>
      </c>
      <c r="G557" s="28" t="n">
        <f aca="false">D557*04_Baseline_PnL!$B$15*F557*04_Baseline_PnL!$B$14</f>
        <v>22314.7451950181</v>
      </c>
      <c r="H557" s="28" t="n">
        <f aca="false">D557*03_Inputs_Assumptions!$B$13*01_Macro_Data!$B$97*($G$7-1)+D557*04_Baseline_PnL!$B$15*04_Baseline_PnL!$B$13*03_Inputs_Assumptions!$B$15*($H$7-1)</f>
        <v>92882.7507407044</v>
      </c>
      <c r="I557" s="16" t="n">
        <f aca="false">G557+H557</f>
        <v>115197.495935722</v>
      </c>
    </row>
    <row r="558" customFormat="false" ht="15" hidden="false" customHeight="true" outlineLevel="0" collapsed="false">
      <c r="A558" s="4" t="s">
        <v>303</v>
      </c>
      <c r="B558" s="4" t="n">
        <v>248</v>
      </c>
      <c r="C558" s="24" t="n">
        <f aca="true">RAND()</f>
        <v>0.253564750574882</v>
      </c>
      <c r="D558" s="25" t="n">
        <f aca="false">IF(C558&lt;(($C$7-$B$7)/($D$7-$B$7)),$B$7+SQRT(C558*($D$7-$B$7)*($C$7-$B$7)),$D$7-SQRT((1-C558)*($D$7-$B$7)*($D$7-$C$7)))</f>
        <v>14.6803739492022</v>
      </c>
      <c r="E558" s="26" t="n">
        <f aca="true">MAX(0,$E$7+$F$7*_xlfn.NORM.S.INV(RAND()))</f>
        <v>3.73421715502185</v>
      </c>
      <c r="F558" s="27" t="n">
        <f aca="false">1/(1+EXP(-03_Inputs_Assumptions!$B$14*(E558-03_Inputs_Assumptions!$B$5)))</f>
        <v>0.0131714369564113</v>
      </c>
      <c r="G558" s="28" t="n">
        <f aca="false">D558*04_Baseline_PnL!$B$15*F558*04_Baseline_PnL!$B$14</f>
        <v>55291.6763421584</v>
      </c>
      <c r="H558" s="28" t="n">
        <f aca="false">D558*03_Inputs_Assumptions!$B$13*01_Macro_Data!$B$97*($G$7-1)+D558*04_Baseline_PnL!$B$15*04_Baseline_PnL!$B$13*03_Inputs_Assumptions!$B$15*($H$7-1)</f>
        <v>149457.951102038</v>
      </c>
      <c r="I558" s="16" t="n">
        <f aca="false">G558+H558</f>
        <v>204749.627444196</v>
      </c>
    </row>
    <row r="559" customFormat="false" ht="15" hidden="false" customHeight="true" outlineLevel="0" collapsed="false">
      <c r="A559" s="4" t="s">
        <v>303</v>
      </c>
      <c r="B559" s="4" t="n">
        <v>249</v>
      </c>
      <c r="C559" s="24" t="n">
        <f aca="true">RAND()</f>
        <v>0.866533012837662</v>
      </c>
      <c r="D559" s="25" t="n">
        <f aca="false">IF(C559&lt;(($C$7-$B$7)/($D$7-$B$7)),$B$7+SQRT(C559*($D$7-$B$7)*($C$7-$B$7)),$D$7-SQRT((1-C559)*($D$7-$B$7)*($D$7-$C$7)))</f>
        <v>23.5884610235919</v>
      </c>
      <c r="E559" s="26" t="n">
        <f aca="true">MAX(0,$E$7+$F$7*_xlfn.NORM.S.INV(RAND()))</f>
        <v>3.24710778573909</v>
      </c>
      <c r="F559" s="27" t="n">
        <f aca="false">1/(1+EXP(-03_Inputs_Assumptions!$B$14*(E559-03_Inputs_Assumptions!$B$5)))</f>
        <v>0.0116789091935927</v>
      </c>
      <c r="G559" s="28" t="n">
        <f aca="false">D559*04_Baseline_PnL!$B$15*F559*04_Baseline_PnL!$B$14</f>
        <v>78775.5366046683</v>
      </c>
      <c r="H559" s="28" t="n">
        <f aca="false">D559*03_Inputs_Assumptions!$B$13*01_Macro_Data!$B$97*($G$7-1)+D559*04_Baseline_PnL!$B$15*04_Baseline_PnL!$B$13*03_Inputs_Assumptions!$B$15*($H$7-1)</f>
        <v>240149.403988985</v>
      </c>
      <c r="I559" s="16" t="n">
        <f aca="false">G559+H559</f>
        <v>318924.940593653</v>
      </c>
    </row>
    <row r="560" customFormat="false" ht="15" hidden="false" customHeight="true" outlineLevel="0" collapsed="false">
      <c r="A560" s="4" t="s">
        <v>303</v>
      </c>
      <c r="B560" s="4" t="n">
        <v>250</v>
      </c>
      <c r="C560" s="24" t="n">
        <f aca="true">RAND()</f>
        <v>0.883255631883817</v>
      </c>
      <c r="D560" s="25" t="n">
        <f aca="false">IF(C560&lt;(($C$7-$B$7)/($D$7-$B$7)),$B$7+SQRT(C560*($D$7-$B$7)*($C$7-$B$7)),$D$7-SQRT((1-C560)*($D$7-$B$7)*($D$7-$C$7)))</f>
        <v>24.0035622758354</v>
      </c>
      <c r="E560" s="26" t="n">
        <f aca="true">MAX(0,$E$7+$F$7*_xlfn.NORM.S.INV(RAND()))</f>
        <v>3.82363041448568</v>
      </c>
      <c r="F560" s="27" t="n">
        <f aca="false">1/(1+EXP(-03_Inputs_Assumptions!$B$14*(E560-03_Inputs_Assumptions!$B$5)))</f>
        <v>0.0134651684536484</v>
      </c>
      <c r="G560" s="28" t="n">
        <f aca="false">D560*04_Baseline_PnL!$B$15*F560*04_Baseline_PnL!$B$14</f>
        <v>92422.3422613232</v>
      </c>
      <c r="H560" s="28" t="n">
        <f aca="false">D560*03_Inputs_Assumptions!$B$13*01_Macro_Data!$B$97*($G$7-1)+D560*04_Baseline_PnL!$B$15*04_Baseline_PnL!$B$13*03_Inputs_Assumptions!$B$15*($H$7-1)</f>
        <v>244375.466817825</v>
      </c>
      <c r="I560" s="16" t="n">
        <f aca="false">G560+H560</f>
        <v>336797.809079148</v>
      </c>
    </row>
    <row r="561" customFormat="false" ht="15" hidden="false" customHeight="true" outlineLevel="0" collapsed="false">
      <c r="A561" s="4" t="s">
        <v>303</v>
      </c>
      <c r="B561" s="4" t="n">
        <v>251</v>
      </c>
      <c r="C561" s="24" t="n">
        <f aca="true">RAND()</f>
        <v>0.0780109987609725</v>
      </c>
      <c r="D561" s="25" t="n">
        <f aca="false">IF(C561&lt;(($C$7-$B$7)/($D$7-$B$7)),$B$7+SQRT(C561*($D$7-$B$7)*($C$7-$B$7)),$D$7-SQRT((1-C561)*($D$7-$B$7)*($D$7-$C$7)))</f>
        <v>11.7053927972526</v>
      </c>
      <c r="E561" s="26" t="n">
        <f aca="true">MAX(0,$E$7+$F$7*_xlfn.NORM.S.INV(RAND()))</f>
        <v>2.96618082467661</v>
      </c>
      <c r="F561" s="27" t="n">
        <f aca="false">1/(1+EXP(-03_Inputs_Assumptions!$B$14*(E561-03_Inputs_Assumptions!$B$5)))</f>
        <v>0.0108954497214442</v>
      </c>
      <c r="G561" s="28" t="n">
        <f aca="false">D561*04_Baseline_PnL!$B$15*F561*04_Baseline_PnL!$B$14</f>
        <v>36468.7295380014</v>
      </c>
      <c r="H561" s="28" t="n">
        <f aca="false">D561*03_Inputs_Assumptions!$B$13*01_Macro_Data!$B$97*($G$7-1)+D561*04_Baseline_PnL!$B$15*04_Baseline_PnL!$B$13*03_Inputs_Assumptions!$B$15*($H$7-1)</f>
        <v>119170.262990269</v>
      </c>
      <c r="I561" s="16" t="n">
        <f aca="false">G561+H561</f>
        <v>155638.99252827</v>
      </c>
    </row>
    <row r="562" customFormat="false" ht="15" hidden="false" customHeight="true" outlineLevel="0" collapsed="false">
      <c r="A562" s="4" t="s">
        <v>303</v>
      </c>
      <c r="B562" s="4" t="n">
        <v>252</v>
      </c>
      <c r="C562" s="24" t="n">
        <f aca="true">RAND()</f>
        <v>0.153886422992387</v>
      </c>
      <c r="D562" s="25" t="n">
        <f aca="false">IF(C562&lt;(($C$7-$B$7)/($D$7-$B$7)),$B$7+SQRT(C562*($D$7-$B$7)*($C$7-$B$7)),$D$7-SQRT((1-C562)*($D$7-$B$7)*($D$7-$C$7)))</f>
        <v>13.2042300532029</v>
      </c>
      <c r="E562" s="26" t="n">
        <f aca="true">MAX(0,$E$7+$F$7*_xlfn.NORM.S.INV(RAND()))</f>
        <v>4.63739284316816</v>
      </c>
      <c r="F562" s="27" t="n">
        <f aca="false">1/(1+EXP(-03_Inputs_Assumptions!$B$14*(E562-03_Inputs_Assumptions!$B$5)))</f>
        <v>0.0164530939317962</v>
      </c>
      <c r="G562" s="28" t="n">
        <f aca="false">D562*04_Baseline_PnL!$B$15*F562*04_Baseline_PnL!$B$14</f>
        <v>62122.6739297757</v>
      </c>
      <c r="H562" s="28" t="n">
        <f aca="false">D562*03_Inputs_Assumptions!$B$13*01_Macro_Data!$B$97*($G$7-1)+D562*04_Baseline_PnL!$B$15*04_Baseline_PnL!$B$13*03_Inputs_Assumptions!$B$15*($H$7-1)</f>
        <v>134429.625325648</v>
      </c>
      <c r="I562" s="16" t="n">
        <f aca="false">G562+H562</f>
        <v>196552.299255424</v>
      </c>
    </row>
    <row r="563" customFormat="false" ht="15" hidden="false" customHeight="true" outlineLevel="0" collapsed="false">
      <c r="A563" s="4" t="s">
        <v>303</v>
      </c>
      <c r="B563" s="4" t="n">
        <v>253</v>
      </c>
      <c r="C563" s="24" t="n">
        <f aca="true">RAND()</f>
        <v>0.604878955025855</v>
      </c>
      <c r="D563" s="25" t="n">
        <f aca="false">IF(C563&lt;(($C$7-$B$7)/($D$7-$B$7)),$B$7+SQRT(C563*($D$7-$B$7)*($C$7-$B$7)),$D$7-SQRT((1-C563)*($D$7-$B$7)*($D$7-$C$7)))</f>
        <v>18.9683509006116</v>
      </c>
      <c r="E563" s="26" t="n">
        <f aca="true">MAX(0,$E$7+$F$7*_xlfn.NORM.S.INV(RAND()))</f>
        <v>3.61578651790855</v>
      </c>
      <c r="F563" s="27" t="n">
        <f aca="false">1/(1+EXP(-03_Inputs_Assumptions!$B$14*(E563-03_Inputs_Assumptions!$B$5)))</f>
        <v>0.0127920935865158</v>
      </c>
      <c r="G563" s="28" t="n">
        <f aca="false">D563*04_Baseline_PnL!$B$15*F563*04_Baseline_PnL!$B$14</f>
        <v>69384.2158516573</v>
      </c>
      <c r="H563" s="28" t="n">
        <f aca="false">D563*03_Inputs_Assumptions!$B$13*01_Macro_Data!$B$97*($G$7-1)+D563*04_Baseline_PnL!$B$15*04_Baseline_PnL!$B$13*03_Inputs_Assumptions!$B$15*($H$7-1)</f>
        <v>193112.986848947</v>
      </c>
      <c r="I563" s="16" t="n">
        <f aca="false">G563+H563</f>
        <v>262497.202700604</v>
      </c>
    </row>
    <row r="564" customFormat="false" ht="15" hidden="false" customHeight="true" outlineLevel="0" collapsed="false">
      <c r="A564" s="4" t="s">
        <v>303</v>
      </c>
      <c r="B564" s="4" t="n">
        <v>254</v>
      </c>
      <c r="C564" s="24" t="n">
        <f aca="true">RAND()</f>
        <v>0.298736813087215</v>
      </c>
      <c r="D564" s="25" t="n">
        <f aca="false">IF(C564&lt;(($C$7-$B$7)/($D$7-$B$7)),$B$7+SQRT(C564*($D$7-$B$7)*($C$7-$B$7)),$D$7-SQRT((1-C564)*($D$7-$B$7)*($D$7-$C$7)))</f>
        <v>15.2510467591479</v>
      </c>
      <c r="E564" s="26" t="n">
        <f aca="true">MAX(0,$E$7+$F$7*_xlfn.NORM.S.INV(RAND()))</f>
        <v>0</v>
      </c>
      <c r="F564" s="27" t="n">
        <f aca="false">1/(1+EXP(-03_Inputs_Assumptions!$B$14*(E564-03_Inputs_Assumptions!$B$5)))</f>
        <v>0.0052201256935584</v>
      </c>
      <c r="G564" s="28" t="n">
        <f aca="false">D564*04_Baseline_PnL!$B$15*F564*04_Baseline_PnL!$B$14</f>
        <v>22765.1278783789</v>
      </c>
      <c r="H564" s="28" t="n">
        <f aca="false">D564*03_Inputs_Assumptions!$B$13*01_Macro_Data!$B$97*($G$7-1)+D564*04_Baseline_PnL!$B$15*04_Baseline_PnL!$B$13*03_Inputs_Assumptions!$B$15*($H$7-1)</f>
        <v>155267.856845533</v>
      </c>
      <c r="I564" s="16" t="n">
        <f aca="false">G564+H564</f>
        <v>178032.984723912</v>
      </c>
    </row>
    <row r="565" customFormat="false" ht="15" hidden="false" customHeight="true" outlineLevel="0" collapsed="false">
      <c r="A565" s="4" t="s">
        <v>303</v>
      </c>
      <c r="B565" s="4" t="n">
        <v>255</v>
      </c>
      <c r="C565" s="24" t="n">
        <f aca="true">RAND()</f>
        <v>0.879882495161105</v>
      </c>
      <c r="D565" s="25" t="n">
        <f aca="false">IF(C565&lt;(($C$7-$B$7)/($D$7-$B$7)),$B$7+SQRT(C565*($D$7-$B$7)*($C$7-$B$7)),$D$7-SQRT((1-C565)*($D$7-$B$7)*($D$7-$C$7)))</f>
        <v>23.9175505353205</v>
      </c>
      <c r="E565" s="26" t="n">
        <f aca="true">MAX(0,$E$7+$F$7*_xlfn.NORM.S.INV(RAND()))</f>
        <v>1.71874854350584</v>
      </c>
      <c r="F565" s="27" t="n">
        <f aca="false">1/(1+EXP(-03_Inputs_Assumptions!$B$14*(E565-03_Inputs_Assumptions!$B$5)))</f>
        <v>0.00799975161878196</v>
      </c>
      <c r="G565" s="28" t="n">
        <f aca="false">D565*04_Baseline_PnL!$B$15*F565*04_Baseline_PnL!$B$14</f>
        <v>54712.0118091355</v>
      </c>
      <c r="H565" s="28" t="n">
        <f aca="false">D565*03_Inputs_Assumptions!$B$13*01_Macro_Data!$B$97*($G$7-1)+D565*04_Baseline_PnL!$B$15*04_Baseline_PnL!$B$13*03_Inputs_Assumptions!$B$15*($H$7-1)</f>
        <v>243499.798489991</v>
      </c>
      <c r="I565" s="16" t="n">
        <f aca="false">G565+H565</f>
        <v>298211.810299127</v>
      </c>
    </row>
    <row r="566" customFormat="false" ht="15" hidden="false" customHeight="true" outlineLevel="0" collapsed="false">
      <c r="A566" s="4" t="s">
        <v>303</v>
      </c>
      <c r="B566" s="4" t="n">
        <v>256</v>
      </c>
      <c r="C566" s="24" t="n">
        <f aca="true">RAND()</f>
        <v>0.338042642466214</v>
      </c>
      <c r="D566" s="25" t="n">
        <f aca="false">IF(C566&lt;(($C$7-$B$7)/($D$7-$B$7)),$B$7+SQRT(C566*($D$7-$B$7)*($C$7-$B$7)),$D$7-SQRT((1-C566)*($D$7-$B$7)*($D$7-$C$7)))</f>
        <v>15.7133329419943</v>
      </c>
      <c r="E566" s="26" t="n">
        <f aca="true">MAX(0,$E$7+$F$7*_xlfn.NORM.S.INV(RAND()))</f>
        <v>1.82309255816739</v>
      </c>
      <c r="F566" s="27" t="n">
        <f aca="false">1/(1+EXP(-03_Inputs_Assumptions!$B$14*(E566-03_Inputs_Assumptions!$B$5)))</f>
        <v>0.0082094431254568</v>
      </c>
      <c r="G566" s="28" t="n">
        <f aca="false">D566*04_Baseline_PnL!$B$15*F566*04_Baseline_PnL!$B$14</f>
        <v>36886.843431978</v>
      </c>
      <c r="H566" s="28" t="n">
        <f aca="false">D566*03_Inputs_Assumptions!$B$13*01_Macro_Data!$B$97*($G$7-1)+D566*04_Baseline_PnL!$B$15*04_Baseline_PnL!$B$13*03_Inputs_Assumptions!$B$15*($H$7-1)</f>
        <v>159974.300015855</v>
      </c>
      <c r="I566" s="16" t="n">
        <f aca="false">G566+H566</f>
        <v>196861.143447833</v>
      </c>
    </row>
    <row r="567" customFormat="false" ht="15" hidden="false" customHeight="true" outlineLevel="0" collapsed="false">
      <c r="A567" s="4" t="s">
        <v>303</v>
      </c>
      <c r="B567" s="4" t="n">
        <v>257</v>
      </c>
      <c r="C567" s="24" t="n">
        <f aca="true">RAND()</f>
        <v>0.210102424826293</v>
      </c>
      <c r="D567" s="25" t="n">
        <f aca="false">IF(C567&lt;(($C$7-$B$7)/($D$7-$B$7)),$B$7+SQRT(C567*($D$7-$B$7)*($C$7-$B$7)),$D$7-SQRT((1-C567)*($D$7-$B$7)*($D$7-$C$7)))</f>
        <v>14.0809560736308</v>
      </c>
      <c r="E567" s="26" t="n">
        <f aca="true">MAX(0,$E$7+$F$7*_xlfn.NORM.S.INV(RAND()))</f>
        <v>3.18303221355897</v>
      </c>
      <c r="F567" s="27" t="n">
        <f aca="false">1/(1+EXP(-03_Inputs_Assumptions!$B$14*(E567-03_Inputs_Assumptions!$B$5)))</f>
        <v>0.0114954499320388</v>
      </c>
      <c r="G567" s="28" t="n">
        <f aca="false">D567*04_Baseline_PnL!$B$15*F567*04_Baseline_PnL!$B$14</f>
        <v>46285.7813194732</v>
      </c>
      <c r="H567" s="28" t="n">
        <f aca="false">D567*03_Inputs_Assumptions!$B$13*01_Macro_Data!$B$97*($G$7-1)+D567*04_Baseline_PnL!$B$15*04_Baseline_PnL!$B$13*03_Inputs_Assumptions!$B$15*($H$7-1)</f>
        <v>143355.397594421</v>
      </c>
      <c r="I567" s="16" t="n">
        <f aca="false">G567+H567</f>
        <v>189641.178913894</v>
      </c>
    </row>
    <row r="568" customFormat="false" ht="15" hidden="false" customHeight="true" outlineLevel="0" collapsed="false">
      <c r="A568" s="4" t="s">
        <v>303</v>
      </c>
      <c r="B568" s="4" t="n">
        <v>258</v>
      </c>
      <c r="C568" s="24" t="n">
        <f aca="true">RAND()</f>
        <v>0.74762654601955</v>
      </c>
      <c r="D568" s="25" t="n">
        <f aca="false">IF(C568&lt;(($C$7-$B$7)/($D$7-$B$7)),$B$7+SQRT(C568*($D$7-$B$7)*($C$7-$B$7)),$D$7-SQRT((1-C568)*($D$7-$B$7)*($D$7-$C$7)))</f>
        <v>21.1834800614994</v>
      </c>
      <c r="E568" s="26" t="n">
        <f aca="true">MAX(0,$E$7+$F$7*_xlfn.NORM.S.INV(RAND()))</f>
        <v>2.61591714206061</v>
      </c>
      <c r="F568" s="27" t="n">
        <f aca="false">1/(1+EXP(-03_Inputs_Assumptions!$B$14*(E568-03_Inputs_Assumptions!$B$5)))</f>
        <v>0.00999108537865898</v>
      </c>
      <c r="G568" s="28" t="n">
        <f aca="false">D568*04_Baseline_PnL!$B$15*F568*04_Baseline_PnL!$B$14</f>
        <v>60520.0753173301</v>
      </c>
      <c r="H568" s="28" t="n">
        <f aca="false">D568*03_Inputs_Assumptions!$B$13*01_Macro_Data!$B$97*($G$7-1)+D568*04_Baseline_PnL!$B$15*04_Baseline_PnL!$B$13*03_Inputs_Assumptions!$B$15*($H$7-1)</f>
        <v>215664.773810113</v>
      </c>
      <c r="I568" s="16" t="n">
        <f aca="false">G568+H568</f>
        <v>276184.849127443</v>
      </c>
    </row>
    <row r="569" customFormat="false" ht="15" hidden="false" customHeight="true" outlineLevel="0" collapsed="false">
      <c r="A569" s="4" t="s">
        <v>303</v>
      </c>
      <c r="B569" s="4" t="n">
        <v>259</v>
      </c>
      <c r="C569" s="24" t="n">
        <f aca="true">RAND()</f>
        <v>0.133744052492369</v>
      </c>
      <c r="D569" s="25" t="n">
        <f aca="false">IF(C569&lt;(($C$7-$B$7)/($D$7-$B$7)),$B$7+SQRT(C569*($D$7-$B$7)*($C$7-$B$7)),$D$7-SQRT((1-C569)*($D$7-$B$7)*($D$7-$C$7)))</f>
        <v>12.8516959136633</v>
      </c>
      <c r="E569" s="26" t="n">
        <f aca="true">MAX(0,$E$7+$F$7*_xlfn.NORM.S.INV(RAND()))</f>
        <v>4.66083382846241</v>
      </c>
      <c r="F569" s="27" t="n">
        <f aca="false">1/(1+EXP(-03_Inputs_Assumptions!$B$14*(E569-03_Inputs_Assumptions!$B$5)))</f>
        <v>0.0165481959399118</v>
      </c>
      <c r="G569" s="28" t="n">
        <f aca="false">D569*04_Baseline_PnL!$B$15*F569*04_Baseline_PnL!$B$14</f>
        <v>60813.5809065375</v>
      </c>
      <c r="H569" s="28" t="n">
        <f aca="false">D569*03_Inputs_Assumptions!$B$13*01_Macro_Data!$B$97*($G$7-1)+D569*04_Baseline_PnL!$B$15*04_Baseline_PnL!$B$13*03_Inputs_Assumptions!$B$15*($H$7-1)</f>
        <v>130840.545757823</v>
      </c>
      <c r="I569" s="16" t="n">
        <f aca="false">G569+H569</f>
        <v>191654.126664361</v>
      </c>
    </row>
    <row r="570" customFormat="false" ht="15" hidden="false" customHeight="true" outlineLevel="0" collapsed="false">
      <c r="A570" s="4" t="s">
        <v>303</v>
      </c>
      <c r="B570" s="4" t="n">
        <v>260</v>
      </c>
      <c r="C570" s="24" t="n">
        <f aca="true">RAND()</f>
        <v>0.587486859660931</v>
      </c>
      <c r="D570" s="25" t="n">
        <f aca="false">IF(C570&lt;(($C$7-$B$7)/($D$7-$B$7)),$B$7+SQRT(C570*($D$7-$B$7)*($C$7-$B$7)),$D$7-SQRT((1-C570)*($D$7-$B$7)*($D$7-$C$7)))</f>
        <v>18.7281746276642</v>
      </c>
      <c r="E570" s="26" t="n">
        <f aca="true">MAX(0,$E$7+$F$7*_xlfn.NORM.S.INV(RAND()))</f>
        <v>4.45952758309011</v>
      </c>
      <c r="F570" s="27" t="n">
        <f aca="false">1/(1+EXP(-03_Inputs_Assumptions!$B$14*(E570-03_Inputs_Assumptions!$B$5)))</f>
        <v>0.0157487825291672</v>
      </c>
      <c r="G570" s="28" t="n">
        <f aca="false">D570*04_Baseline_PnL!$B$15*F570*04_Baseline_PnL!$B$14</f>
        <v>84339.67389275</v>
      </c>
      <c r="H570" s="28" t="n">
        <f aca="false">D570*03_Inputs_Assumptions!$B$13*01_Macro_Data!$B$97*($G$7-1)+D570*04_Baseline_PnL!$B$15*04_Baseline_PnL!$B$13*03_Inputs_Assumptions!$B$15*($H$7-1)</f>
        <v>190667.800249324</v>
      </c>
      <c r="I570" s="16" t="n">
        <f aca="false">G570+H570</f>
        <v>275007.474142074</v>
      </c>
    </row>
    <row r="571" customFormat="false" ht="15" hidden="false" customHeight="true" outlineLevel="0" collapsed="false">
      <c r="A571" s="4" t="s">
        <v>303</v>
      </c>
      <c r="B571" s="4" t="n">
        <v>261</v>
      </c>
      <c r="C571" s="24" t="n">
        <f aca="true">RAND()</f>
        <v>0.729463682191506</v>
      </c>
      <c r="D571" s="25" t="n">
        <f aca="false">IF(C571&lt;(($C$7-$B$7)/($D$7-$B$7)),$B$7+SQRT(C571*($D$7-$B$7)*($C$7-$B$7)),$D$7-SQRT((1-C571)*($D$7-$B$7)*($D$7-$C$7)))</f>
        <v>20.8717369732782</v>
      </c>
      <c r="E571" s="26" t="n">
        <f aca="true">MAX(0,$E$7+$F$7*_xlfn.NORM.S.INV(RAND()))</f>
        <v>4.74485204900997</v>
      </c>
      <c r="F571" s="27" t="n">
        <f aca="false">1/(1+EXP(-03_Inputs_Assumptions!$B$14*(E571-03_Inputs_Assumptions!$B$5)))</f>
        <v>0.0168935255064373</v>
      </c>
      <c r="G571" s="28" t="n">
        <f aca="false">D571*04_Baseline_PnL!$B$15*F571*04_Baseline_PnL!$B$14</f>
        <v>100825.031469682</v>
      </c>
      <c r="H571" s="28" t="n">
        <f aca="false">D571*03_Inputs_Assumptions!$B$13*01_Macro_Data!$B$97*($G$7-1)+D571*04_Baseline_PnL!$B$15*04_Baseline_PnL!$B$13*03_Inputs_Assumptions!$B$15*($H$7-1)</f>
        <v>212490.979777551</v>
      </c>
      <c r="I571" s="16" t="n">
        <f aca="false">G571+H571</f>
        <v>313316.011247233</v>
      </c>
    </row>
    <row r="572" customFormat="false" ht="15" hidden="false" customHeight="true" outlineLevel="0" collapsed="false">
      <c r="A572" s="4" t="s">
        <v>303</v>
      </c>
      <c r="B572" s="4" t="n">
        <v>262</v>
      </c>
      <c r="C572" s="24" t="n">
        <f aca="true">RAND()</f>
        <v>0.980837488259316</v>
      </c>
      <c r="D572" s="25" t="n">
        <f aca="false">IF(C572&lt;(($C$7-$B$7)/($D$7-$B$7)),$B$7+SQRT(C572*($D$7-$B$7)*($C$7-$B$7)),$D$7-SQRT((1-C572)*($D$7-$B$7)*($D$7-$C$7)))</f>
        <v>27.5705857462897</v>
      </c>
      <c r="E572" s="26" t="n">
        <f aca="true">MAX(0,$E$7+$F$7*_xlfn.NORM.S.INV(RAND()))</f>
        <v>3.39394640711906</v>
      </c>
      <c r="F572" s="27" t="n">
        <f aca="false">1/(1+EXP(-03_Inputs_Assumptions!$B$14*(E572-03_Inputs_Assumptions!$B$5)))</f>
        <v>0.0121103158332455</v>
      </c>
      <c r="G572" s="28" t="n">
        <f aca="false">D572*04_Baseline_PnL!$B$15*F572*04_Baseline_PnL!$B$14</f>
        <v>95475.2806680692</v>
      </c>
      <c r="H572" s="28" t="n">
        <f aca="false">D572*03_Inputs_Assumptions!$B$13*01_Macro_Data!$B$97*($G$7-1)+D572*04_Baseline_PnL!$B$15*04_Baseline_PnL!$B$13*03_Inputs_Assumptions!$B$15*($H$7-1)</f>
        <v>280690.619365827</v>
      </c>
      <c r="I572" s="16" t="n">
        <f aca="false">G572+H572</f>
        <v>376165.900033896</v>
      </c>
    </row>
    <row r="573" customFormat="false" ht="15" hidden="false" customHeight="true" outlineLevel="0" collapsed="false">
      <c r="A573" s="4" t="s">
        <v>303</v>
      </c>
      <c r="B573" s="4" t="n">
        <v>263</v>
      </c>
      <c r="C573" s="24" t="n">
        <f aca="true">RAND()</f>
        <v>0.274306846116144</v>
      </c>
      <c r="D573" s="25" t="n">
        <f aca="false">IF(C573&lt;(($C$7-$B$7)/($D$7-$B$7)),$B$7+SQRT(C573*($D$7-$B$7)*($C$7-$B$7)),$D$7-SQRT((1-C573)*($D$7-$B$7)*($D$7-$C$7)))</f>
        <v>14.9482375403005</v>
      </c>
      <c r="E573" s="26" t="n">
        <f aca="true">MAX(0,$E$7+$F$7*_xlfn.NORM.S.INV(RAND()))</f>
        <v>1.7964982606285</v>
      </c>
      <c r="F573" s="27" t="n">
        <f aca="false">1/(1+EXP(-03_Inputs_Assumptions!$B$14*(E573-03_Inputs_Assumptions!$B$5)))</f>
        <v>0.00815548673286213</v>
      </c>
      <c r="G573" s="28" t="n">
        <f aca="false">D573*04_Baseline_PnL!$B$15*F573*04_Baseline_PnL!$B$14</f>
        <v>34860.1584960785</v>
      </c>
      <c r="H573" s="28" t="n">
        <f aca="false">D573*03_Inputs_Assumptions!$B$13*01_Macro_Data!$B$97*($G$7-1)+D573*04_Baseline_PnL!$B$15*04_Baseline_PnL!$B$13*03_Inputs_Assumptions!$B$15*($H$7-1)</f>
        <v>152185.016750292</v>
      </c>
      <c r="I573" s="16" t="n">
        <f aca="false">G573+H573</f>
        <v>187045.17524637</v>
      </c>
    </row>
    <row r="574" customFormat="false" ht="15" hidden="false" customHeight="true" outlineLevel="0" collapsed="false">
      <c r="A574" s="4" t="s">
        <v>303</v>
      </c>
      <c r="B574" s="4" t="n">
        <v>264</v>
      </c>
      <c r="C574" s="24" t="n">
        <f aca="true">RAND()</f>
        <v>0.51292453871617</v>
      </c>
      <c r="D574" s="25" t="n">
        <f aca="false">IF(C574&lt;(($C$7-$B$7)/($D$7-$B$7)),$B$7+SQRT(C574*($D$7-$B$7)*($C$7-$B$7)),$D$7-SQRT((1-C574)*($D$7-$B$7)*($D$7-$C$7)))</f>
        <v>17.7517657568358</v>
      </c>
      <c r="E574" s="26" t="n">
        <f aca="true">MAX(0,$E$7+$F$7*_xlfn.NORM.S.INV(RAND()))</f>
        <v>4.79912811686573</v>
      </c>
      <c r="F574" s="27" t="n">
        <f aca="false">1/(1+EXP(-03_Inputs_Assumptions!$B$14*(E574-03_Inputs_Assumptions!$B$5)))</f>
        <v>0.0171203650789965</v>
      </c>
      <c r="G574" s="28" t="n">
        <f aca="false">D574*04_Baseline_PnL!$B$15*F574*04_Baseline_PnL!$B$14</f>
        <v>86904.8593907023</v>
      </c>
      <c r="H574" s="28" t="n">
        <f aca="false">D574*03_Inputs_Assumptions!$B$13*01_Macro_Data!$B$97*($G$7-1)+D574*04_Baseline_PnL!$B$15*04_Baseline_PnL!$B$13*03_Inputs_Assumptions!$B$15*($H$7-1)</f>
        <v>180727.176817194</v>
      </c>
      <c r="I574" s="16" t="n">
        <f aca="false">G574+H574</f>
        <v>267632.036207897</v>
      </c>
    </row>
    <row r="575" customFormat="false" ht="15" hidden="false" customHeight="true" outlineLevel="0" collapsed="false">
      <c r="A575" s="4" t="s">
        <v>303</v>
      </c>
      <c r="B575" s="4" t="n">
        <v>265</v>
      </c>
      <c r="C575" s="24" t="n">
        <f aca="true">RAND()</f>
        <v>0.37096697720583</v>
      </c>
      <c r="D575" s="25" t="n">
        <f aca="false">IF(C575&lt;(($C$7-$B$7)/($D$7-$B$7)),$B$7+SQRT(C575*($D$7-$B$7)*($C$7-$B$7)),$D$7-SQRT((1-C575)*($D$7-$B$7)*($D$7-$C$7)))</f>
        <v>16.0808703210077</v>
      </c>
      <c r="E575" s="26" t="n">
        <f aca="true">MAX(0,$E$7+$F$7*_xlfn.NORM.S.INV(RAND()))</f>
        <v>3.30508700494954</v>
      </c>
      <c r="F575" s="27" t="n">
        <f aca="false">1/(1+EXP(-03_Inputs_Assumptions!$B$14*(E575-03_Inputs_Assumptions!$B$5)))</f>
        <v>0.0118474053416321</v>
      </c>
      <c r="G575" s="28" t="n">
        <f aca="false">D575*04_Baseline_PnL!$B$15*F575*04_Baseline_PnL!$B$14</f>
        <v>54478.1408800598</v>
      </c>
      <c r="H575" s="28" t="n">
        <f aca="false">D575*03_Inputs_Assumptions!$B$13*01_Macro_Data!$B$97*($G$7-1)+D575*04_Baseline_PnL!$B$15*04_Baseline_PnL!$B$13*03_Inputs_Assumptions!$B$15*($H$7-1)</f>
        <v>163716.124564115</v>
      </c>
      <c r="I575" s="16" t="n">
        <f aca="false">G575+H575</f>
        <v>218194.265444175</v>
      </c>
    </row>
    <row r="576" customFormat="false" ht="15" hidden="false" customHeight="true" outlineLevel="0" collapsed="false">
      <c r="A576" s="4" t="s">
        <v>303</v>
      </c>
      <c r="B576" s="4" t="n">
        <v>266</v>
      </c>
      <c r="C576" s="24" t="n">
        <f aca="true">RAND()</f>
        <v>0.613256353508072</v>
      </c>
      <c r="D576" s="25" t="n">
        <f aca="false">IF(C576&lt;(($C$7-$B$7)/($D$7-$B$7)),$B$7+SQRT(C576*($D$7-$B$7)*($C$7-$B$7)),$D$7-SQRT((1-C576)*($D$7-$B$7)*($D$7-$C$7)))</f>
        <v>19.0859245412397</v>
      </c>
      <c r="E576" s="26" t="n">
        <f aca="true">MAX(0,$E$7+$F$7*_xlfn.NORM.S.INV(RAND()))</f>
        <v>2.21346780355616</v>
      </c>
      <c r="F576" s="27" t="n">
        <f aca="false">1/(1+EXP(-03_Inputs_Assumptions!$B$14*(E576-03_Inputs_Assumptions!$B$5)))</f>
        <v>0.00904342222684567</v>
      </c>
      <c r="G576" s="28" t="n">
        <f aca="false">D576*04_Baseline_PnL!$B$15*F576*04_Baseline_PnL!$B$14</f>
        <v>49355.4927037801</v>
      </c>
      <c r="H576" s="28" t="n">
        <f aca="false">D576*03_Inputs_Assumptions!$B$13*01_Macro_Data!$B$97*($G$7-1)+D576*04_Baseline_PnL!$B$15*04_Baseline_PnL!$B$13*03_Inputs_Assumptions!$B$15*($H$7-1)</f>
        <v>194309.980569453</v>
      </c>
      <c r="I576" s="16" t="n">
        <f aca="false">G576+H576</f>
        <v>243665.473273233</v>
      </c>
    </row>
    <row r="577" customFormat="false" ht="15" hidden="false" customHeight="true" outlineLevel="0" collapsed="false">
      <c r="A577" s="4" t="s">
        <v>303</v>
      </c>
      <c r="B577" s="4" t="n">
        <v>267</v>
      </c>
      <c r="C577" s="24" t="n">
        <f aca="true">RAND()</f>
        <v>0.584496141328765</v>
      </c>
      <c r="D577" s="25" t="n">
        <f aca="false">IF(C577&lt;(($C$7-$B$7)/($D$7-$B$7)),$B$7+SQRT(C577*($D$7-$B$7)*($C$7-$B$7)),$D$7-SQRT((1-C577)*($D$7-$B$7)*($D$7-$C$7)))</f>
        <v>18.687388079195</v>
      </c>
      <c r="E577" s="26" t="n">
        <f aca="true">MAX(0,$E$7+$F$7*_xlfn.NORM.S.INV(RAND()))</f>
        <v>2.48922829115198</v>
      </c>
      <c r="F577" s="27" t="n">
        <f aca="false">1/(1+EXP(-03_Inputs_Assumptions!$B$14*(E577-03_Inputs_Assumptions!$B$5)))</f>
        <v>0.00968262023564796</v>
      </c>
      <c r="G577" s="28" t="n">
        <f aca="false">D577*04_Baseline_PnL!$B$15*F577*04_Baseline_PnL!$B$14</f>
        <v>51740.5432772531</v>
      </c>
      <c r="H577" s="28" t="n">
        <f aca="false">D577*03_Inputs_Assumptions!$B$13*01_Macro_Data!$B$97*($G$7-1)+D577*04_Baseline_PnL!$B$15*04_Baseline_PnL!$B$13*03_Inputs_Assumptions!$B$15*($H$7-1)</f>
        <v>190252.560556668</v>
      </c>
      <c r="I577" s="16" t="n">
        <f aca="false">G577+H577</f>
        <v>241993.103833921</v>
      </c>
    </row>
    <row r="578" customFormat="false" ht="15" hidden="false" customHeight="true" outlineLevel="0" collapsed="false">
      <c r="A578" s="4" t="s">
        <v>303</v>
      </c>
      <c r="B578" s="4" t="n">
        <v>268</v>
      </c>
      <c r="C578" s="24" t="n">
        <f aca="true">RAND()</f>
        <v>0.195520701583937</v>
      </c>
      <c r="D578" s="25" t="n">
        <f aca="false">IF(C578&lt;(($C$7-$B$7)/($D$7-$B$7)),$B$7+SQRT(C578*($D$7-$B$7)*($C$7-$B$7)),$D$7-SQRT((1-C578)*($D$7-$B$7)*($D$7-$C$7)))</f>
        <v>13.8661438337952</v>
      </c>
      <c r="E578" s="26" t="n">
        <f aca="true">MAX(0,$E$7+$F$7*_xlfn.NORM.S.INV(RAND()))</f>
        <v>4.22532193033045</v>
      </c>
      <c r="F578" s="27" t="n">
        <f aca="false">1/(1+EXP(-03_Inputs_Assumptions!$B$14*(E578-03_Inputs_Assumptions!$B$5)))</f>
        <v>0.0148664602819761</v>
      </c>
      <c r="G578" s="28" t="n">
        <f aca="false">D578*04_Baseline_PnL!$B$15*F578*04_Baseline_PnL!$B$14</f>
        <v>58945.7851736364</v>
      </c>
      <c r="H578" s="28" t="n">
        <f aca="false">D578*03_Inputs_Assumptions!$B$13*01_Macro_Data!$B$97*($G$7-1)+D578*04_Baseline_PnL!$B$15*04_Baseline_PnL!$B$13*03_Inputs_Assumptions!$B$15*($H$7-1)</f>
        <v>141168.437143102</v>
      </c>
      <c r="I578" s="16" t="n">
        <f aca="false">G578+H578</f>
        <v>200114.222316738</v>
      </c>
    </row>
    <row r="579" customFormat="false" ht="15" hidden="false" customHeight="true" outlineLevel="0" collapsed="false">
      <c r="A579" s="4" t="s">
        <v>303</v>
      </c>
      <c r="B579" s="4" t="n">
        <v>269</v>
      </c>
      <c r="C579" s="24" t="n">
        <f aca="true">RAND()</f>
        <v>0.91107458522222</v>
      </c>
      <c r="D579" s="25" t="n">
        <f aca="false">IF(C579&lt;(($C$7-$B$7)/($D$7-$B$7)),$B$7+SQRT(C579*($D$7-$B$7)*($C$7-$B$7)),$D$7-SQRT((1-C579)*($D$7-$B$7)*($D$7-$C$7)))</f>
        <v>24.7665472437829</v>
      </c>
      <c r="E579" s="26" t="n">
        <f aca="true">MAX(0,$E$7+$F$7*_xlfn.NORM.S.INV(RAND()))</f>
        <v>4.09307181256999</v>
      </c>
      <c r="F579" s="27" t="n">
        <f aca="false">1/(1+EXP(-03_Inputs_Assumptions!$B$14*(E579-03_Inputs_Assumptions!$B$5)))</f>
        <v>0.0143899315118641</v>
      </c>
      <c r="G579" s="28" t="n">
        <f aca="false">D579*04_Baseline_PnL!$B$15*F579*04_Baseline_PnL!$B$14</f>
        <v>101909.265880531</v>
      </c>
      <c r="H579" s="28" t="n">
        <f aca="false">D579*03_Inputs_Assumptions!$B$13*01_Macro_Data!$B$97*($G$7-1)+D579*04_Baseline_PnL!$B$15*04_Baseline_PnL!$B$13*03_Inputs_Assumptions!$B$15*($H$7-1)</f>
        <v>252143.264179505</v>
      </c>
      <c r="I579" s="16" t="n">
        <f aca="false">G579+H579</f>
        <v>354052.530060036</v>
      </c>
    </row>
    <row r="580" customFormat="false" ht="15" hidden="false" customHeight="true" outlineLevel="0" collapsed="false">
      <c r="A580" s="4" t="s">
        <v>303</v>
      </c>
      <c r="B580" s="4" t="n">
        <v>270</v>
      </c>
      <c r="C580" s="24" t="n">
        <f aca="true">RAND()</f>
        <v>0.565544592556187</v>
      </c>
      <c r="D580" s="25" t="n">
        <f aca="false">IF(C580&lt;(($C$7-$B$7)/($D$7-$B$7)),$B$7+SQRT(C580*($D$7-$B$7)*($C$7-$B$7)),$D$7-SQRT((1-C580)*($D$7-$B$7)*($D$7-$C$7)))</f>
        <v>18.4322748350121</v>
      </c>
      <c r="E580" s="26" t="n">
        <f aca="true">MAX(0,$E$7+$F$7*_xlfn.NORM.S.INV(RAND()))</f>
        <v>1.90991443514386</v>
      </c>
      <c r="F580" s="27" t="n">
        <f aca="false">1/(1+EXP(-03_Inputs_Assumptions!$B$14*(E580-03_Inputs_Assumptions!$B$5)))</f>
        <v>0.00838806984758263</v>
      </c>
      <c r="G580" s="28" t="n">
        <f aca="false">D580*04_Baseline_PnL!$B$15*F580*04_Baseline_PnL!$B$14</f>
        <v>44211.0120682152</v>
      </c>
      <c r="H580" s="28" t="n">
        <f aca="false">D580*03_Inputs_Assumptions!$B$13*01_Macro_Data!$B$97*($G$7-1)+D580*04_Baseline_PnL!$B$15*04_Baseline_PnL!$B$13*03_Inputs_Assumptions!$B$15*($H$7-1)</f>
        <v>187655.303640291</v>
      </c>
      <c r="I580" s="16" t="n">
        <f aca="false">G580+H580</f>
        <v>231866.315708507</v>
      </c>
    </row>
    <row r="581" customFormat="false" ht="15" hidden="false" customHeight="true" outlineLevel="0" collapsed="false">
      <c r="A581" s="4" t="s">
        <v>303</v>
      </c>
      <c r="B581" s="4" t="n">
        <v>271</v>
      </c>
      <c r="C581" s="24" t="n">
        <f aca="true">RAND()</f>
        <v>0.183643260262485</v>
      </c>
      <c r="D581" s="25" t="n">
        <f aca="false">IF(C581&lt;(($C$7-$B$7)/($D$7-$B$7)),$B$7+SQRT(C581*($D$7-$B$7)*($C$7-$B$7)),$D$7-SQRT((1-C581)*($D$7-$B$7)*($D$7-$C$7)))</f>
        <v>13.685174914301</v>
      </c>
      <c r="E581" s="26" t="n">
        <f aca="true">MAX(0,$E$7+$F$7*_xlfn.NORM.S.INV(RAND()))</f>
        <v>3.42093904324332</v>
      </c>
      <c r="F581" s="27" t="n">
        <f aca="false">1/(1+EXP(-03_Inputs_Assumptions!$B$14*(E581-03_Inputs_Assumptions!$B$5)))</f>
        <v>0.0121913148574345</v>
      </c>
      <c r="G581" s="28" t="n">
        <f aca="false">D581*04_Baseline_PnL!$B$15*F581*04_Baseline_PnL!$B$14</f>
        <v>47707.9089287249</v>
      </c>
      <c r="H581" s="28" t="n">
        <f aca="false">D581*03_Inputs_Assumptions!$B$13*01_Macro_Data!$B$97*($G$7-1)+D581*04_Baseline_PnL!$B$15*04_Baseline_PnL!$B$13*03_Inputs_Assumptions!$B$15*($H$7-1)</f>
        <v>139326.028767516</v>
      </c>
      <c r="I581" s="16" t="n">
        <f aca="false">G581+H581</f>
        <v>187033.937696241</v>
      </c>
    </row>
    <row r="582" customFormat="false" ht="15" hidden="false" customHeight="true" outlineLevel="0" collapsed="false">
      <c r="A582" s="4" t="s">
        <v>303</v>
      </c>
      <c r="B582" s="4" t="n">
        <v>272</v>
      </c>
      <c r="C582" s="24" t="n">
        <f aca="true">RAND()</f>
        <v>0.922706697938681</v>
      </c>
      <c r="D582" s="25" t="n">
        <f aca="false">IF(C582&lt;(($C$7-$B$7)/($D$7-$B$7)),$B$7+SQRT(C582*($D$7-$B$7)*($C$7-$B$7)),$D$7-SQRT((1-C582)*($D$7-$B$7)*($D$7-$C$7)))</f>
        <v>25.1208261934129</v>
      </c>
      <c r="E582" s="26" t="n">
        <f aca="true">MAX(0,$E$7+$F$7*_xlfn.NORM.S.INV(RAND()))</f>
        <v>4.49846142988823</v>
      </c>
      <c r="F582" s="27" t="n">
        <f aca="false">1/(1+EXP(-03_Inputs_Assumptions!$B$14*(E582-03_Inputs_Assumptions!$B$5)))</f>
        <v>0.0159003718777558</v>
      </c>
      <c r="G582" s="28" t="n">
        <f aca="false">D582*04_Baseline_PnL!$B$15*F582*04_Baseline_PnL!$B$14</f>
        <v>114216.982324724</v>
      </c>
      <c r="H582" s="28" t="n">
        <f aca="false">D582*03_Inputs_Assumptions!$B$13*01_Macro_Data!$B$97*($G$7-1)+D582*04_Baseline_PnL!$B$15*04_Baseline_PnL!$B$13*03_Inputs_Assumptions!$B$15*($H$7-1)</f>
        <v>255750.107309898</v>
      </c>
      <c r="I582" s="16" t="n">
        <f aca="false">G582+H582</f>
        <v>369967.089634622</v>
      </c>
    </row>
    <row r="583" customFormat="false" ht="15" hidden="false" customHeight="true" outlineLevel="0" collapsed="false">
      <c r="A583" s="4" t="s">
        <v>303</v>
      </c>
      <c r="B583" s="4" t="n">
        <v>273</v>
      </c>
      <c r="C583" s="24" t="n">
        <f aca="true">RAND()</f>
        <v>0.772490297843842</v>
      </c>
      <c r="D583" s="25" t="n">
        <f aca="false">IF(C583&lt;(($C$7-$B$7)/($D$7-$B$7)),$B$7+SQRT(C583*($D$7-$B$7)*($C$7-$B$7)),$D$7-SQRT((1-C583)*($D$7-$B$7)*($D$7-$C$7)))</f>
        <v>21.6290389880196</v>
      </c>
      <c r="E583" s="26" t="n">
        <f aca="true">MAX(0,$E$7+$F$7*_xlfn.NORM.S.INV(RAND()))</f>
        <v>5.49849623213207</v>
      </c>
      <c r="F583" s="27" t="n">
        <f aca="false">1/(1+EXP(-03_Inputs_Assumptions!$B$14*(E583-03_Inputs_Assumptions!$B$5)))</f>
        <v>0.0203248663240866</v>
      </c>
      <c r="G583" s="28" t="n">
        <f aca="false">D583*04_Baseline_PnL!$B$15*F583*04_Baseline_PnL!$B$14</f>
        <v>125705.535561245</v>
      </c>
      <c r="H583" s="28" t="n">
        <f aca="false">D583*03_Inputs_Assumptions!$B$13*01_Macro_Data!$B$97*($G$7-1)+D583*04_Baseline_PnL!$B$15*04_Baseline_PnL!$B$13*03_Inputs_Assumptions!$B$15*($H$7-1)</f>
        <v>220200.92012923</v>
      </c>
      <c r="I583" s="16" t="n">
        <f aca="false">G583+H583</f>
        <v>345906.455690474</v>
      </c>
    </row>
    <row r="584" customFormat="false" ht="15" hidden="false" customHeight="true" outlineLevel="0" collapsed="false">
      <c r="A584" s="4" t="s">
        <v>303</v>
      </c>
      <c r="B584" s="4" t="n">
        <v>274</v>
      </c>
      <c r="C584" s="24" t="n">
        <f aca="true">RAND()</f>
        <v>0.491051190244964</v>
      </c>
      <c r="D584" s="25" t="n">
        <f aca="false">IF(C584&lt;(($C$7-$B$7)/($D$7-$B$7)),$B$7+SQRT(C584*($D$7-$B$7)*($C$7-$B$7)),$D$7-SQRT((1-C584)*($D$7-$B$7)*($D$7-$C$7)))</f>
        <v>17.4797670387268</v>
      </c>
      <c r="E584" s="26" t="n">
        <f aca="true">MAX(0,$E$7+$F$7*_xlfn.NORM.S.INV(RAND()))</f>
        <v>2.9276355337992</v>
      </c>
      <c r="F584" s="27" t="n">
        <f aca="false">1/(1+EXP(-03_Inputs_Assumptions!$B$14*(E584-03_Inputs_Assumptions!$B$5)))</f>
        <v>0.0107920895414218</v>
      </c>
      <c r="G584" s="28" t="n">
        <f aca="false">D584*04_Baseline_PnL!$B$15*F584*04_Baseline_PnL!$B$14</f>
        <v>53942.4492355537</v>
      </c>
      <c r="H584" s="28" t="n">
        <f aca="false">D584*03_Inputs_Assumptions!$B$13*01_Macro_Data!$B$97*($G$7-1)+D584*04_Baseline_PnL!$B$15*04_Baseline_PnL!$B$13*03_Inputs_Assumptions!$B$15*($H$7-1)</f>
        <v>177958.01226787</v>
      </c>
      <c r="I584" s="16" t="n">
        <f aca="false">G584+H584</f>
        <v>231900.461503424</v>
      </c>
    </row>
    <row r="585" customFormat="false" ht="15" hidden="false" customHeight="true" outlineLevel="0" collapsed="false">
      <c r="A585" s="4" t="s">
        <v>303</v>
      </c>
      <c r="B585" s="4" t="n">
        <v>275</v>
      </c>
      <c r="C585" s="24" t="n">
        <f aca="true">RAND()</f>
        <v>0.396189349863311</v>
      </c>
      <c r="D585" s="25" t="n">
        <f aca="false">IF(C585&lt;(($C$7-$B$7)/($D$7-$B$7)),$B$7+SQRT(C585*($D$7-$B$7)*($C$7-$B$7)),$D$7-SQRT((1-C585)*($D$7-$B$7)*($D$7-$C$7)))</f>
        <v>16.3627832662929</v>
      </c>
      <c r="E585" s="26" t="n">
        <f aca="true">MAX(0,$E$7+$F$7*_xlfn.NORM.S.INV(RAND()))</f>
        <v>3.76609803576712</v>
      </c>
      <c r="F585" s="27" t="n">
        <f aca="false">1/(1+EXP(-03_Inputs_Assumptions!$B$14*(E585-03_Inputs_Assumptions!$B$5)))</f>
        <v>0.0132754364626651</v>
      </c>
      <c r="G585" s="28" t="n">
        <f aca="false">D585*04_Baseline_PnL!$B$15*F585*04_Baseline_PnL!$B$14</f>
        <v>62114.8538494297</v>
      </c>
      <c r="H585" s="28" t="n">
        <f aca="false">D585*03_Inputs_Assumptions!$B$13*01_Macro_Data!$B$97*($G$7-1)+D585*04_Baseline_PnL!$B$15*04_Baseline_PnL!$B$13*03_Inputs_Assumptions!$B$15*($H$7-1)</f>
        <v>166586.223877475</v>
      </c>
      <c r="I585" s="16" t="n">
        <f aca="false">G585+H585</f>
        <v>228701.077726905</v>
      </c>
    </row>
    <row r="586" customFormat="false" ht="15" hidden="false" customHeight="true" outlineLevel="0" collapsed="false">
      <c r="A586" s="4" t="s">
        <v>303</v>
      </c>
      <c r="B586" s="4" t="n">
        <v>276</v>
      </c>
      <c r="C586" s="24" t="n">
        <f aca="true">RAND()</f>
        <v>0.293087128371249</v>
      </c>
      <c r="D586" s="25" t="n">
        <f aca="false">IF(C586&lt;(($C$7-$B$7)/($D$7-$B$7)),$B$7+SQRT(C586*($D$7-$B$7)*($C$7-$B$7)),$D$7-SQRT((1-C586)*($D$7-$B$7)*($D$7-$C$7)))</f>
        <v>15.182153896523</v>
      </c>
      <c r="E586" s="26" t="n">
        <f aca="true">MAX(0,$E$7+$F$7*_xlfn.NORM.S.INV(RAND()))</f>
        <v>3.74645068314657</v>
      </c>
      <c r="F586" s="27" t="n">
        <f aca="false">1/(1+EXP(-03_Inputs_Assumptions!$B$14*(E586-03_Inputs_Assumptions!$B$5)))</f>
        <v>0.0132112488990368</v>
      </c>
      <c r="G586" s="28" t="n">
        <f aca="false">D586*04_Baseline_PnL!$B$15*F586*04_Baseline_PnL!$B$14</f>
        <v>57354.4005983002</v>
      </c>
      <c r="H586" s="28" t="n">
        <f aca="false">D586*03_Inputs_Assumptions!$B$13*01_Macro_Data!$B$97*($G$7-1)+D586*04_Baseline_PnL!$B$15*04_Baseline_PnL!$B$13*03_Inputs_Assumptions!$B$15*($H$7-1)</f>
        <v>154566.472389721</v>
      </c>
      <c r="I586" s="16" t="n">
        <f aca="false">G586+H586</f>
        <v>211920.872988021</v>
      </c>
    </row>
    <row r="587" customFormat="false" ht="15" hidden="false" customHeight="true" outlineLevel="0" collapsed="false">
      <c r="A587" s="4" t="s">
        <v>303</v>
      </c>
      <c r="B587" s="4" t="n">
        <v>277</v>
      </c>
      <c r="C587" s="24" t="n">
        <f aca="true">RAND()</f>
        <v>0.664654110700037</v>
      </c>
      <c r="D587" s="25" t="n">
        <f aca="false">IF(C587&lt;(($C$7-$B$7)/($D$7-$B$7)),$B$7+SQRT(C587*($D$7-$B$7)*($C$7-$B$7)),$D$7-SQRT((1-C587)*($D$7-$B$7)*($D$7-$C$7)))</f>
        <v>19.8370017266365</v>
      </c>
      <c r="E587" s="26" t="n">
        <f aca="true">MAX(0,$E$7+$F$7*_xlfn.NORM.S.INV(RAND()))</f>
        <v>2.71390093210135</v>
      </c>
      <c r="F587" s="27" t="n">
        <f aca="false">1/(1+EXP(-03_Inputs_Assumptions!$B$14*(E587-03_Inputs_Assumptions!$B$5)))</f>
        <v>0.0102363125084145</v>
      </c>
      <c r="G587" s="28" t="n">
        <f aca="false">D587*04_Baseline_PnL!$B$15*F587*04_Baseline_PnL!$B$14</f>
        <v>58064.2804553877</v>
      </c>
      <c r="H587" s="28" t="n">
        <f aca="false">D587*03_Inputs_Assumptions!$B$13*01_Macro_Data!$B$97*($G$7-1)+D587*04_Baseline_PnL!$B$15*04_Baseline_PnL!$B$13*03_Inputs_Assumptions!$B$15*($H$7-1)</f>
        <v>201956.547178542</v>
      </c>
      <c r="I587" s="16" t="n">
        <f aca="false">G587+H587</f>
        <v>260020.827633929</v>
      </c>
    </row>
    <row r="588" customFormat="false" ht="15" hidden="false" customHeight="true" outlineLevel="0" collapsed="false">
      <c r="A588" s="4" t="s">
        <v>303</v>
      </c>
      <c r="B588" s="4" t="n">
        <v>278</v>
      </c>
      <c r="C588" s="24" t="n">
        <f aca="true">RAND()</f>
        <v>0.210199907336874</v>
      </c>
      <c r="D588" s="25" t="n">
        <f aca="false">IF(C588&lt;(($C$7-$B$7)/($D$7-$B$7)),$B$7+SQRT(C588*($D$7-$B$7)*($C$7-$B$7)),$D$7-SQRT((1-C588)*($D$7-$B$7)*($D$7-$C$7)))</f>
        <v>14.0823666192766</v>
      </c>
      <c r="E588" s="26" t="n">
        <f aca="true">MAX(0,$E$7+$F$7*_xlfn.NORM.S.INV(RAND()))</f>
        <v>4.74316598369319</v>
      </c>
      <c r="F588" s="27" t="n">
        <f aca="false">1/(1+EXP(-03_Inputs_Assumptions!$B$14*(E588-03_Inputs_Assumptions!$B$5)))</f>
        <v>0.0168865263320278</v>
      </c>
      <c r="G588" s="28" t="n">
        <f aca="false">D588*04_Baseline_PnL!$B$15*F588*04_Baseline_PnL!$B$14</f>
        <v>67999.4577223498</v>
      </c>
      <c r="H588" s="28" t="n">
        <f aca="false">D588*03_Inputs_Assumptions!$B$13*01_Macro_Data!$B$97*($G$7-1)+D588*04_Baseline_PnL!$B$15*04_Baseline_PnL!$B$13*03_Inputs_Assumptions!$B$15*($H$7-1)</f>
        <v>143369.758077531</v>
      </c>
      <c r="I588" s="16" t="n">
        <f aca="false">G588+H588</f>
        <v>211369.215799881</v>
      </c>
    </row>
    <row r="589" customFormat="false" ht="15" hidden="false" customHeight="true" outlineLevel="0" collapsed="false">
      <c r="A589" s="4" t="s">
        <v>303</v>
      </c>
      <c r="B589" s="4" t="n">
        <v>279</v>
      </c>
      <c r="C589" s="24" t="n">
        <f aca="true">RAND()</f>
        <v>0.809355062018421</v>
      </c>
      <c r="D589" s="25" t="n">
        <f aca="false">IF(C589&lt;(($C$7-$B$7)/($D$7-$B$7)),$B$7+SQRT(C589*($D$7-$B$7)*($C$7-$B$7)),$D$7-SQRT((1-C589)*($D$7-$B$7)*($D$7-$C$7)))</f>
        <v>22.3371910569083</v>
      </c>
      <c r="E589" s="26" t="n">
        <f aca="true">MAX(0,$E$7+$F$7*_xlfn.NORM.S.INV(RAND()))</f>
        <v>3.71728718915022</v>
      </c>
      <c r="F589" s="27" t="n">
        <f aca="false">1/(1+EXP(-03_Inputs_Assumptions!$B$14*(E589-03_Inputs_Assumptions!$B$5)))</f>
        <v>0.0131165364474006</v>
      </c>
      <c r="G589" s="28" t="n">
        <f aca="false">D589*04_Baseline_PnL!$B$15*F589*04_Baseline_PnL!$B$14</f>
        <v>83779.3931983976</v>
      </c>
      <c r="H589" s="28" t="n">
        <f aca="false">D589*03_Inputs_Assumptions!$B$13*01_Macro_Data!$B$97*($G$7-1)+D589*04_Baseline_PnL!$B$15*04_Baseline_PnL!$B$13*03_Inputs_Assumptions!$B$15*($H$7-1)</f>
        <v>227410.474712172</v>
      </c>
      <c r="I589" s="16" t="n">
        <f aca="false">G589+H589</f>
        <v>311189.86791057</v>
      </c>
    </row>
    <row r="590" customFormat="false" ht="15" hidden="false" customHeight="true" outlineLevel="0" collapsed="false">
      <c r="A590" s="4" t="s">
        <v>303</v>
      </c>
      <c r="B590" s="4" t="n">
        <v>280</v>
      </c>
      <c r="C590" s="24" t="n">
        <f aca="true">RAND()</f>
        <v>0.344434579288913</v>
      </c>
      <c r="D590" s="25" t="n">
        <f aca="false">IF(C590&lt;(($C$7-$B$7)/($D$7-$B$7)),$B$7+SQRT(C590*($D$7-$B$7)*($C$7-$B$7)),$D$7-SQRT((1-C590)*($D$7-$B$7)*($D$7-$C$7)))</f>
        <v>15.7859158712928</v>
      </c>
      <c r="E590" s="26" t="n">
        <f aca="true">MAX(0,$E$7+$F$7*_xlfn.NORM.S.INV(RAND()))</f>
        <v>5.15277813182903</v>
      </c>
      <c r="F590" s="27" t="n">
        <f aca="false">1/(1+EXP(-03_Inputs_Assumptions!$B$14*(E590-03_Inputs_Assumptions!$B$5)))</f>
        <v>0.018673396543784</v>
      </c>
      <c r="G590" s="28" t="n">
        <f aca="false">D590*04_Baseline_PnL!$B$15*F590*04_Baseline_PnL!$B$14</f>
        <v>84291.2676286837</v>
      </c>
      <c r="H590" s="28" t="n">
        <f aca="false">D590*03_Inputs_Assumptions!$B$13*01_Macro_Data!$B$97*($G$7-1)+D590*04_Baseline_PnL!$B$15*04_Baseline_PnL!$B$13*03_Inputs_Assumptions!$B$15*($H$7-1)</f>
        <v>160713.252302458</v>
      </c>
      <c r="I590" s="16" t="n">
        <f aca="false">G590+H590</f>
        <v>245004.519931141</v>
      </c>
    </row>
    <row r="591" customFormat="false" ht="15" hidden="false" customHeight="true" outlineLevel="0" collapsed="false">
      <c r="A591" s="4" t="s">
        <v>303</v>
      </c>
      <c r="B591" s="4" t="n">
        <v>281</v>
      </c>
      <c r="C591" s="24" t="n">
        <f aca="true">RAND()</f>
        <v>0.222425661850438</v>
      </c>
      <c r="D591" s="25" t="n">
        <f aca="false">IF(C591&lt;(($C$7-$B$7)/($D$7-$B$7)),$B$7+SQRT(C591*($D$7-$B$7)*($C$7-$B$7)),$D$7-SQRT((1-C591)*($D$7-$B$7)*($D$7-$C$7)))</f>
        <v>14.256749674206</v>
      </c>
      <c r="E591" s="26" t="n">
        <f aca="true">MAX(0,$E$7+$F$7*_xlfn.NORM.S.INV(RAND()))</f>
        <v>0</v>
      </c>
      <c r="F591" s="27" t="n">
        <f aca="false">1/(1+EXP(-03_Inputs_Assumptions!$B$14*(E591-03_Inputs_Assumptions!$B$5)))</f>
        <v>0.0052201256935584</v>
      </c>
      <c r="G591" s="28" t="n">
        <f aca="false">D591*04_Baseline_PnL!$B$15*F591*04_Baseline_PnL!$B$14</f>
        <v>21280.9477663334</v>
      </c>
      <c r="H591" s="28" t="n">
        <f aca="false">D591*03_Inputs_Assumptions!$B$13*01_Macro_Data!$B$97*($G$7-1)+D591*04_Baseline_PnL!$B$15*04_Baseline_PnL!$B$13*03_Inputs_Assumptions!$B$15*($H$7-1)</f>
        <v>145145.117083157</v>
      </c>
      <c r="I591" s="16" t="n">
        <f aca="false">G591+H591</f>
        <v>166426.06484949</v>
      </c>
    </row>
    <row r="592" customFormat="false" ht="15" hidden="false" customHeight="true" outlineLevel="0" collapsed="false">
      <c r="A592" s="4" t="s">
        <v>303</v>
      </c>
      <c r="B592" s="4" t="n">
        <v>282</v>
      </c>
      <c r="C592" s="24" t="n">
        <f aca="true">RAND()</f>
        <v>0.210930004956009</v>
      </c>
      <c r="D592" s="25" t="n">
        <f aca="false">IF(C592&lt;(($C$7-$B$7)/($D$7-$B$7)),$B$7+SQRT(C592*($D$7-$B$7)*($C$7-$B$7)),$D$7-SQRT((1-C592)*($D$7-$B$7)*($D$7-$C$7)))</f>
        <v>14.0929205535816</v>
      </c>
      <c r="E592" s="26" t="n">
        <f aca="true">MAX(0,$E$7+$F$7*_xlfn.NORM.S.INV(RAND()))</f>
        <v>3.41818283800271</v>
      </c>
      <c r="F592" s="27" t="n">
        <f aca="false">1/(1+EXP(-03_Inputs_Assumptions!$B$14*(E592-03_Inputs_Assumptions!$B$5)))</f>
        <v>0.0121830196169542</v>
      </c>
      <c r="G592" s="28" t="n">
        <f aca="false">D592*04_Baseline_PnL!$B$15*F592*04_Baseline_PnL!$B$14</f>
        <v>49095.9229190741</v>
      </c>
      <c r="H592" s="28" t="n">
        <f aca="false">D592*03_Inputs_Assumptions!$B$13*01_Macro_Data!$B$97*($G$7-1)+D592*04_Baseline_PnL!$B$15*04_Baseline_PnL!$B$13*03_Inputs_Assumptions!$B$15*($H$7-1)</f>
        <v>143477.205571904</v>
      </c>
      <c r="I592" s="16" t="n">
        <f aca="false">G592+H592</f>
        <v>192573.128490978</v>
      </c>
    </row>
    <row r="593" customFormat="false" ht="15" hidden="false" customHeight="true" outlineLevel="0" collapsed="false">
      <c r="A593" s="4" t="s">
        <v>303</v>
      </c>
      <c r="B593" s="4" t="n">
        <v>283</v>
      </c>
      <c r="C593" s="24" t="n">
        <f aca="true">RAND()</f>
        <v>0.885224569759785</v>
      </c>
      <c r="D593" s="25" t="n">
        <f aca="false">IF(C593&lt;(($C$7-$B$7)/($D$7-$B$7)),$B$7+SQRT(C593*($D$7-$B$7)*($C$7-$B$7)),$D$7-SQRT((1-C593)*($D$7-$B$7)*($D$7-$C$7)))</f>
        <v>24.0543433908452</v>
      </c>
      <c r="E593" s="26" t="n">
        <f aca="true">MAX(0,$E$7+$F$7*_xlfn.NORM.S.INV(RAND()))</f>
        <v>3.8590672073247</v>
      </c>
      <c r="F593" s="27" t="n">
        <f aca="false">1/(1+EXP(-03_Inputs_Assumptions!$B$14*(E593-03_Inputs_Assumptions!$B$5)))</f>
        <v>0.013583361457208</v>
      </c>
      <c r="G593" s="28" t="n">
        <f aca="false">D593*04_Baseline_PnL!$B$15*F593*04_Baseline_PnL!$B$14</f>
        <v>93430.8382503761</v>
      </c>
      <c r="H593" s="28" t="n">
        <f aca="false">D593*03_Inputs_Assumptions!$B$13*01_Macro_Data!$B$97*($G$7-1)+D593*04_Baseline_PnL!$B$15*04_Baseline_PnL!$B$13*03_Inputs_Assumptions!$B$15*($H$7-1)</f>
        <v>244892.459193517</v>
      </c>
      <c r="I593" s="16" t="n">
        <f aca="false">G593+H593</f>
        <v>338323.297443893</v>
      </c>
    </row>
    <row r="594" customFormat="false" ht="15" hidden="false" customHeight="true" outlineLevel="0" collapsed="false">
      <c r="A594" s="4" t="s">
        <v>303</v>
      </c>
      <c r="B594" s="4" t="n">
        <v>284</v>
      </c>
      <c r="C594" s="24" t="n">
        <f aca="true">RAND()</f>
        <v>0.547743904219399</v>
      </c>
      <c r="D594" s="25" t="n">
        <f aca="false">IF(C594&lt;(($C$7-$B$7)/($D$7-$B$7)),$B$7+SQRT(C594*($D$7-$B$7)*($C$7-$B$7)),$D$7-SQRT((1-C594)*($D$7-$B$7)*($D$7-$C$7)))</f>
        <v>18.1976749112548</v>
      </c>
      <c r="E594" s="26" t="n">
        <f aca="true">MAX(0,$E$7+$F$7*_xlfn.NORM.S.INV(RAND()))</f>
        <v>3.80445260790188</v>
      </c>
      <c r="F594" s="27" t="n">
        <f aca="false">1/(1+EXP(-03_Inputs_Assumptions!$B$14*(E594-03_Inputs_Assumptions!$B$5)))</f>
        <v>0.0134016279807976</v>
      </c>
      <c r="G594" s="28" t="n">
        <f aca="false">D594*04_Baseline_PnL!$B$15*F594*04_Baseline_PnL!$B$14</f>
        <v>69736.9487917838</v>
      </c>
      <c r="H594" s="28" t="n">
        <f aca="false">D594*03_Inputs_Assumptions!$B$13*01_Macro_Data!$B$97*($G$7-1)+D594*04_Baseline_PnL!$B$15*04_Baseline_PnL!$B$13*03_Inputs_Assumptions!$B$15*($H$7-1)</f>
        <v>185266.888736503</v>
      </c>
      <c r="I594" s="16" t="n">
        <f aca="false">G594+H594</f>
        <v>255003.837528286</v>
      </c>
    </row>
    <row r="595" customFormat="false" ht="15" hidden="false" customHeight="true" outlineLevel="0" collapsed="false">
      <c r="A595" s="4" t="s">
        <v>303</v>
      </c>
      <c r="B595" s="4" t="n">
        <v>285</v>
      </c>
      <c r="C595" s="24" t="n">
        <f aca="true">RAND()</f>
        <v>0.924535462597997</v>
      </c>
      <c r="D595" s="25" t="n">
        <f aca="false">IF(C595&lt;(($C$7-$B$7)/($D$7-$B$7)),$B$7+SQRT(C595*($D$7-$B$7)*($C$7-$B$7)),$D$7-SQRT((1-C595)*($D$7-$B$7)*($D$7-$C$7)))</f>
        <v>25.1788925006989</v>
      </c>
      <c r="E595" s="26" t="n">
        <f aca="true">MAX(0,$E$7+$F$7*_xlfn.NORM.S.INV(RAND()))</f>
        <v>3.37344222301491</v>
      </c>
      <c r="F595" s="27" t="n">
        <f aca="false">1/(1+EXP(-03_Inputs_Assumptions!$B$14*(E595-03_Inputs_Assumptions!$B$5)))</f>
        <v>0.0120491427060964</v>
      </c>
      <c r="G595" s="28" t="n">
        <f aca="false">D595*04_Baseline_PnL!$B$15*F595*04_Baseline_PnL!$B$14</f>
        <v>86752.5507334896</v>
      </c>
      <c r="H595" s="28" t="n">
        <f aca="false">D595*03_Inputs_Assumptions!$B$13*01_Macro_Data!$B$97*($G$7-1)+D595*04_Baseline_PnL!$B$15*04_Baseline_PnL!$B$13*03_Inputs_Assumptions!$B$15*($H$7-1)</f>
        <v>256341.268771116</v>
      </c>
      <c r="I595" s="16" t="n">
        <f aca="false">G595+H595</f>
        <v>343093.819504606</v>
      </c>
    </row>
    <row r="596" customFormat="false" ht="15" hidden="false" customHeight="true" outlineLevel="0" collapsed="false">
      <c r="A596" s="4" t="s">
        <v>303</v>
      </c>
      <c r="B596" s="4" t="n">
        <v>286</v>
      </c>
      <c r="C596" s="24" t="n">
        <f aca="true">RAND()</f>
        <v>0.372388185571077</v>
      </c>
      <c r="D596" s="25" t="n">
        <f aca="false">IF(C596&lt;(($C$7-$B$7)/($D$7-$B$7)),$B$7+SQRT(C596*($D$7-$B$7)*($C$7-$B$7)),$D$7-SQRT((1-C596)*($D$7-$B$7)*($D$7-$C$7)))</f>
        <v>16.0966033342888</v>
      </c>
      <c r="E596" s="26" t="n">
        <f aca="true">MAX(0,$E$7+$F$7*_xlfn.NORM.S.INV(RAND()))</f>
        <v>3.83063654713086</v>
      </c>
      <c r="F596" s="27" t="n">
        <f aca="false">1/(1+EXP(-03_Inputs_Assumptions!$B$14*(E596-03_Inputs_Assumptions!$B$5)))</f>
        <v>0.0134884554096749</v>
      </c>
      <c r="G596" s="28" t="n">
        <f aca="false">D596*04_Baseline_PnL!$B$15*F596*04_Baseline_PnL!$B$14</f>
        <v>62084.8939721152</v>
      </c>
      <c r="H596" s="28" t="n">
        <f aca="false">D596*03_Inputs_Assumptions!$B$13*01_Macro_Data!$B$97*($G$7-1)+D596*04_Baseline_PnL!$B$15*04_Baseline_PnL!$B$13*03_Inputs_Assumptions!$B$15*($H$7-1)</f>
        <v>163876.299225728</v>
      </c>
      <c r="I596" s="16" t="n">
        <f aca="false">G596+H596</f>
        <v>225961.193197843</v>
      </c>
    </row>
    <row r="597" customFormat="false" ht="15" hidden="false" customHeight="true" outlineLevel="0" collapsed="false">
      <c r="A597" s="4" t="s">
        <v>303</v>
      </c>
      <c r="B597" s="4" t="n">
        <v>287</v>
      </c>
      <c r="C597" s="24" t="n">
        <f aca="true">RAND()</f>
        <v>0.168990660909428</v>
      </c>
      <c r="D597" s="25" t="n">
        <f aca="false">IF(C597&lt;(($C$7-$B$7)/($D$7-$B$7)),$B$7+SQRT(C597*($D$7-$B$7)*($C$7-$B$7)),$D$7-SQRT((1-C597)*($D$7-$B$7)*($D$7-$C$7)))</f>
        <v>13.4536553173133</v>
      </c>
      <c r="E597" s="26" t="n">
        <f aca="true">MAX(0,$E$7+$F$7*_xlfn.NORM.S.INV(RAND()))</f>
        <v>3.16641545655754</v>
      </c>
      <c r="F597" s="27" t="n">
        <f aca="false">1/(1+EXP(-03_Inputs_Assumptions!$B$14*(E597-03_Inputs_Assumptions!$B$5)))</f>
        <v>0.0114483402836342</v>
      </c>
      <c r="G597" s="28" t="n">
        <f aca="false">D597*04_Baseline_PnL!$B$15*F597*04_Baseline_PnL!$B$14</f>
        <v>44042.5349623291</v>
      </c>
      <c r="H597" s="28" t="n">
        <f aca="false">D597*03_Inputs_Assumptions!$B$13*01_Macro_Data!$B$97*($G$7-1)+D597*04_Baseline_PnL!$B$15*04_Baseline_PnL!$B$13*03_Inputs_Assumptions!$B$15*($H$7-1)</f>
        <v>136968.974054503</v>
      </c>
      <c r="I597" s="16" t="n">
        <f aca="false">G597+H597</f>
        <v>181011.509016832</v>
      </c>
    </row>
    <row r="598" customFormat="false" ht="15" hidden="false" customHeight="true" outlineLevel="0" collapsed="false">
      <c r="A598" s="4" t="s">
        <v>303</v>
      </c>
      <c r="B598" s="4" t="n">
        <v>288</v>
      </c>
      <c r="C598" s="24" t="n">
        <f aca="true">RAND()</f>
        <v>0.17393782477401</v>
      </c>
      <c r="D598" s="25" t="n">
        <f aca="false">IF(C598&lt;(($C$7-$B$7)/($D$7-$B$7)),$B$7+SQRT(C598*($D$7-$B$7)*($C$7-$B$7)),$D$7-SQRT((1-C598)*($D$7-$B$7)*($D$7-$C$7)))</f>
        <v>13.5329067550634</v>
      </c>
      <c r="E598" s="26" t="n">
        <f aca="true">MAX(0,$E$7+$F$7*_xlfn.NORM.S.INV(RAND()))</f>
        <v>1.55415121618296</v>
      </c>
      <c r="F598" s="27" t="n">
        <f aca="false">1/(1+EXP(-03_Inputs_Assumptions!$B$14*(E598-03_Inputs_Assumptions!$B$5)))</f>
        <v>0.00767972483127143</v>
      </c>
      <c r="G598" s="28" t="n">
        <f aca="false">D598*04_Baseline_PnL!$B$15*F598*04_Baseline_PnL!$B$14</f>
        <v>29718.4551621606</v>
      </c>
      <c r="H598" s="28" t="n">
        <f aca="false">D598*03_Inputs_Assumptions!$B$13*01_Macro_Data!$B$97*($G$7-1)+D598*04_Baseline_PnL!$B$15*04_Baseline_PnL!$B$13*03_Inputs_Assumptions!$B$15*($H$7-1)</f>
        <v>137775.817091949</v>
      </c>
      <c r="I598" s="16" t="n">
        <f aca="false">G598+H598</f>
        <v>167494.27225411</v>
      </c>
    </row>
    <row r="599" customFormat="false" ht="15" hidden="false" customHeight="true" outlineLevel="0" collapsed="false">
      <c r="A599" s="4" t="s">
        <v>303</v>
      </c>
      <c r="B599" s="4" t="n">
        <v>289</v>
      </c>
      <c r="C599" s="24" t="n">
        <f aca="true">RAND()</f>
        <v>0.193266482317916</v>
      </c>
      <c r="D599" s="25" t="n">
        <f aca="false">IF(C599&lt;(($C$7-$B$7)/($D$7-$B$7)),$B$7+SQRT(C599*($D$7-$B$7)*($C$7-$B$7)),$D$7-SQRT((1-C599)*($D$7-$B$7)*($D$7-$C$7)))</f>
        <v>13.8322294954805</v>
      </c>
      <c r="E599" s="26" t="n">
        <f aca="true">MAX(0,$E$7+$F$7*_xlfn.NORM.S.INV(RAND()))</f>
        <v>3.79151085385528</v>
      </c>
      <c r="F599" s="27" t="n">
        <f aca="false">1/(1+EXP(-03_Inputs_Assumptions!$B$14*(E599-03_Inputs_Assumptions!$B$5)))</f>
        <v>0.0133589162149361</v>
      </c>
      <c r="G599" s="28" t="n">
        <f aca="false">D599*04_Baseline_PnL!$B$15*F599*04_Baseline_PnL!$B$14</f>
        <v>52838.7935723274</v>
      </c>
      <c r="H599" s="28" t="n">
        <f aca="false">D599*03_Inputs_Assumptions!$B$13*01_Macro_Data!$B$97*($G$7-1)+D599*04_Baseline_PnL!$B$15*04_Baseline_PnL!$B$13*03_Inputs_Assumptions!$B$15*($H$7-1)</f>
        <v>140823.162047588</v>
      </c>
      <c r="I599" s="16" t="n">
        <f aca="false">G599+H599</f>
        <v>193661.955619916</v>
      </c>
    </row>
    <row r="600" customFormat="false" ht="15" hidden="false" customHeight="true" outlineLevel="0" collapsed="false">
      <c r="A600" s="4" t="s">
        <v>303</v>
      </c>
      <c r="B600" s="4" t="n">
        <v>290</v>
      </c>
      <c r="C600" s="24" t="n">
        <f aca="true">RAND()</f>
        <v>0.514172447810489</v>
      </c>
      <c r="D600" s="25" t="n">
        <f aca="false">IF(C600&lt;(($C$7-$B$7)/($D$7-$B$7)),$B$7+SQRT(C600*($D$7-$B$7)*($C$7-$B$7)),$D$7-SQRT((1-C600)*($D$7-$B$7)*($D$7-$C$7)))</f>
        <v>17.7674660812091</v>
      </c>
      <c r="E600" s="26" t="n">
        <f aca="true">MAX(0,$E$7+$F$7*_xlfn.NORM.S.INV(RAND()))</f>
        <v>1.89298395708887</v>
      </c>
      <c r="F600" s="27" t="n">
        <f aca="false">1/(1+EXP(-03_Inputs_Assumptions!$B$14*(E600-03_Inputs_Assumptions!$B$5)))</f>
        <v>0.00835293730183988</v>
      </c>
      <c r="G600" s="28" t="n">
        <f aca="false">D600*04_Baseline_PnL!$B$15*F600*04_Baseline_PnL!$B$14</f>
        <v>42437.9305588756</v>
      </c>
      <c r="H600" s="28" t="n">
        <f aca="false">D600*03_Inputs_Assumptions!$B$13*01_Macro_Data!$B$97*($G$7-1)+D600*04_Baseline_PnL!$B$15*04_Baseline_PnL!$B$13*03_Inputs_Assumptions!$B$15*($H$7-1)</f>
        <v>180887.018679574</v>
      </c>
      <c r="I600" s="16" t="n">
        <f aca="false">G600+H600</f>
        <v>223324.949238449</v>
      </c>
    </row>
    <row r="601" customFormat="false" ht="15" hidden="false" customHeight="true" outlineLevel="0" collapsed="false">
      <c r="A601" s="4" t="s">
        <v>303</v>
      </c>
      <c r="B601" s="4" t="n">
        <v>291</v>
      </c>
      <c r="C601" s="24" t="n">
        <f aca="true">RAND()</f>
        <v>0.740586404083398</v>
      </c>
      <c r="D601" s="25" t="n">
        <f aca="false">IF(C601&lt;(($C$7-$B$7)/($D$7-$B$7)),$B$7+SQRT(C601*($D$7-$B$7)*($C$7-$B$7)),$D$7-SQRT((1-C601)*($D$7-$B$7)*($D$7-$C$7)))</f>
        <v>21.061354266875</v>
      </c>
      <c r="E601" s="26" t="n">
        <f aca="true">MAX(0,$E$7+$F$7*_xlfn.NORM.S.INV(RAND()))</f>
        <v>0.873666452625244</v>
      </c>
      <c r="F601" s="27" t="n">
        <f aca="false">1/(1+EXP(-03_Inputs_Assumptions!$B$14*(E601-03_Inputs_Assumptions!$B$5)))</f>
        <v>0.00648612088128371</v>
      </c>
      <c r="G601" s="28" t="n">
        <f aca="false">D601*04_Baseline_PnL!$B$15*F601*04_Baseline_PnL!$B$14</f>
        <v>39062.569996463</v>
      </c>
      <c r="H601" s="28" t="n">
        <f aca="false">D601*03_Inputs_Assumptions!$B$13*01_Macro_Data!$B$97*($G$7-1)+D601*04_Baseline_PnL!$B$15*04_Baseline_PnL!$B$13*03_Inputs_Assumptions!$B$15*($H$7-1)</f>
        <v>214421.435520201</v>
      </c>
      <c r="I601" s="16" t="n">
        <f aca="false">G601+H601</f>
        <v>253484.005516664</v>
      </c>
    </row>
    <row r="602" customFormat="false" ht="15" hidden="false" customHeight="true" outlineLevel="0" collapsed="false">
      <c r="A602" s="4" t="s">
        <v>303</v>
      </c>
      <c r="B602" s="4" t="n">
        <v>292</v>
      </c>
      <c r="C602" s="24" t="n">
        <f aca="true">RAND()</f>
        <v>0.0911046230124179</v>
      </c>
      <c r="D602" s="25" t="n">
        <f aca="false">IF(C602&lt;(($C$7-$B$7)/($D$7-$B$7)),$B$7+SQRT(C602*($D$7-$B$7)*($C$7-$B$7)),$D$7-SQRT((1-C602)*($D$7-$B$7)*($D$7-$C$7)))</f>
        <v>12.0042993956728</v>
      </c>
      <c r="E602" s="26" t="n">
        <f aca="true">MAX(0,$E$7+$F$7*_xlfn.NORM.S.INV(RAND()))</f>
        <v>5.50771971221018</v>
      </c>
      <c r="F602" s="27" t="n">
        <f aca="false">1/(1+EXP(-03_Inputs_Assumptions!$B$14*(E602-03_Inputs_Assumptions!$B$5)))</f>
        <v>0.0203708310884606</v>
      </c>
      <c r="G602" s="28" t="n">
        <f aca="false">D602*04_Baseline_PnL!$B$15*F602*04_Baseline_PnL!$B$14</f>
        <v>69925.4141784381</v>
      </c>
      <c r="H602" s="28" t="n">
        <f aca="false">D602*03_Inputs_Assumptions!$B$13*01_Macro_Data!$B$97*($G$7-1)+D602*04_Baseline_PnL!$B$15*04_Baseline_PnL!$B$13*03_Inputs_Assumptions!$B$15*($H$7-1)</f>
        <v>122213.371287466</v>
      </c>
      <c r="I602" s="16" t="n">
        <f aca="false">G602+H602</f>
        <v>192138.785465904</v>
      </c>
    </row>
    <row r="603" customFormat="false" ht="15" hidden="false" customHeight="true" outlineLevel="0" collapsed="false">
      <c r="A603" s="4" t="s">
        <v>303</v>
      </c>
      <c r="B603" s="4" t="n">
        <v>293</v>
      </c>
      <c r="C603" s="24" t="n">
        <f aca="true">RAND()</f>
        <v>0.889737393597984</v>
      </c>
      <c r="D603" s="25" t="n">
        <f aca="false">IF(C603&lt;(($C$7-$B$7)/($D$7-$B$7)),$B$7+SQRT(C603*($D$7-$B$7)*($C$7-$B$7)),$D$7-SQRT((1-C603)*($D$7-$B$7)*($D$7-$C$7)))</f>
        <v>24.1724033451327</v>
      </c>
      <c r="E603" s="26" t="n">
        <f aca="true">MAX(0,$E$7+$F$7*_xlfn.NORM.S.INV(RAND()))</f>
        <v>1.88253331670784</v>
      </c>
      <c r="F603" s="27" t="n">
        <f aca="false">1/(1+EXP(-03_Inputs_Assumptions!$B$14*(E603-03_Inputs_Assumptions!$B$5)))</f>
        <v>0.00833132397999812</v>
      </c>
      <c r="G603" s="28" t="n">
        <f aca="false">D603*04_Baseline_PnL!$B$15*F603*04_Baseline_PnL!$B$14</f>
        <v>57586.8517933745</v>
      </c>
      <c r="H603" s="28" t="n">
        <f aca="false">D603*03_Inputs_Assumptions!$B$13*01_Macro_Data!$B$97*($G$7-1)+D603*04_Baseline_PnL!$B$15*04_Baseline_PnL!$B$13*03_Inputs_Assumptions!$B$15*($H$7-1)</f>
        <v>246094.403976127</v>
      </c>
      <c r="I603" s="16" t="n">
        <f aca="false">G603+H603</f>
        <v>303681.255769501</v>
      </c>
    </row>
    <row r="604" customFormat="false" ht="15" hidden="false" customHeight="true" outlineLevel="0" collapsed="false">
      <c r="A604" s="4" t="s">
        <v>303</v>
      </c>
      <c r="B604" s="4" t="n">
        <v>294</v>
      </c>
      <c r="C604" s="24" t="n">
        <f aca="true">RAND()</f>
        <v>0.269678787520016</v>
      </c>
      <c r="D604" s="25" t="n">
        <f aca="false">IF(C604&lt;(($C$7-$B$7)/($D$7-$B$7)),$B$7+SQRT(C604*($D$7-$B$7)*($C$7-$B$7)),$D$7-SQRT((1-C604)*($D$7-$B$7)*($D$7-$C$7)))</f>
        <v>14.8893734550772</v>
      </c>
      <c r="E604" s="26" t="n">
        <f aca="true">MAX(0,$E$7+$F$7*_xlfn.NORM.S.INV(RAND()))</f>
        <v>2.61999339386767</v>
      </c>
      <c r="F604" s="27" t="n">
        <f aca="false">1/(1+EXP(-03_Inputs_Assumptions!$B$14*(E604-03_Inputs_Assumptions!$B$5)))</f>
        <v>0.0100011702339304</v>
      </c>
      <c r="G604" s="28" t="n">
        <f aca="false">D604*04_Baseline_PnL!$B$15*F604*04_Baseline_PnL!$B$14</f>
        <v>42581.0850490073</v>
      </c>
      <c r="H604" s="28" t="n">
        <f aca="false">D604*03_Inputs_Assumptions!$B$13*01_Macro_Data!$B$97*($G$7-1)+D604*04_Baseline_PnL!$B$15*04_Baseline_PnL!$B$13*03_Inputs_Assumptions!$B$15*($H$7-1)</f>
        <v>151585.73327145</v>
      </c>
      <c r="I604" s="16" t="n">
        <f aca="false">G604+H604</f>
        <v>194166.818320458</v>
      </c>
    </row>
    <row r="605" customFormat="false" ht="15" hidden="false" customHeight="true" outlineLevel="0" collapsed="false">
      <c r="A605" s="4" t="s">
        <v>303</v>
      </c>
      <c r="B605" s="4" t="n">
        <v>295</v>
      </c>
      <c r="C605" s="24" t="n">
        <f aca="true">RAND()</f>
        <v>0.124626348858492</v>
      </c>
      <c r="D605" s="25" t="n">
        <f aca="false">IF(C605&lt;(($C$7-$B$7)/($D$7-$B$7)),$B$7+SQRT(C605*($D$7-$B$7)*($C$7-$B$7)),$D$7-SQRT((1-C605)*($D$7-$B$7)*($D$7-$C$7)))</f>
        <v>12.6834001963418</v>
      </c>
      <c r="E605" s="26" t="n">
        <f aca="true">MAX(0,$E$7+$F$7*_xlfn.NORM.S.INV(RAND()))</f>
        <v>1.71699523121585</v>
      </c>
      <c r="F605" s="27" t="n">
        <f aca="false">1/(1+EXP(-03_Inputs_Assumptions!$B$14*(E605-03_Inputs_Assumptions!$B$5)))</f>
        <v>0.00799627390438011</v>
      </c>
      <c r="G605" s="28" t="n">
        <f aca="false">D605*04_Baseline_PnL!$B$15*F605*04_Baseline_PnL!$B$14</f>
        <v>29000.9910400355</v>
      </c>
      <c r="H605" s="28" t="n">
        <f aca="false">D605*03_Inputs_Assumptions!$B$13*01_Macro_Data!$B$97*($G$7-1)+D605*04_Baseline_PnL!$B$15*04_Baseline_PnL!$B$13*03_Inputs_Assumptions!$B$15*($H$7-1)</f>
        <v>129127.160718917</v>
      </c>
      <c r="I605" s="16" t="n">
        <f aca="false">G605+H605</f>
        <v>158128.151758952</v>
      </c>
    </row>
    <row r="606" customFormat="false" ht="15" hidden="false" customHeight="true" outlineLevel="0" collapsed="false">
      <c r="A606" s="4" t="s">
        <v>303</v>
      </c>
      <c r="B606" s="4" t="n">
        <v>296</v>
      </c>
      <c r="C606" s="24" t="n">
        <f aca="true">RAND()</f>
        <v>0.381843332329621</v>
      </c>
      <c r="D606" s="25" t="n">
        <f aca="false">IF(C606&lt;(($C$7-$B$7)/($D$7-$B$7)),$B$7+SQRT(C606*($D$7-$B$7)*($C$7-$B$7)),$D$7-SQRT((1-C606)*($D$7-$B$7)*($D$7-$C$7)))</f>
        <v>16.2017300489345</v>
      </c>
      <c r="E606" s="26" t="n">
        <f aca="true">MAX(0,$E$7+$F$7*_xlfn.NORM.S.INV(RAND()))</f>
        <v>3.19160981959962</v>
      </c>
      <c r="F606" s="27" t="n">
        <f aca="false">1/(1+EXP(-03_Inputs_Assumptions!$B$14*(E606-03_Inputs_Assumptions!$B$5)))</f>
        <v>0.0115198429630735</v>
      </c>
      <c r="G606" s="28" t="n">
        <f aca="false">D606*04_Baseline_PnL!$B$15*F606*04_Baseline_PnL!$B$14</f>
        <v>53370.0281502458</v>
      </c>
      <c r="H606" s="28" t="n">
        <f aca="false">D606*03_Inputs_Assumptions!$B$13*01_Macro_Data!$B$97*($G$7-1)+D606*04_Baseline_PnL!$B$15*04_Baseline_PnL!$B$13*03_Inputs_Assumptions!$B$15*($H$7-1)</f>
        <v>164946.573282193</v>
      </c>
      <c r="I606" s="16" t="n">
        <f aca="false">G606+H606</f>
        <v>218316.601432438</v>
      </c>
    </row>
    <row r="607" customFormat="false" ht="15" hidden="false" customHeight="true" outlineLevel="0" collapsed="false">
      <c r="A607" s="4" t="s">
        <v>303</v>
      </c>
      <c r="B607" s="4" t="n">
        <v>297</v>
      </c>
      <c r="C607" s="24" t="n">
        <f aca="true">RAND()</f>
        <v>0.394927712023787</v>
      </c>
      <c r="D607" s="25" t="n">
        <f aca="false">IF(C607&lt;(($C$7-$B$7)/($D$7-$B$7)),$B$7+SQRT(C607*($D$7-$B$7)*($C$7-$B$7)),$D$7-SQRT((1-C607)*($D$7-$B$7)*($D$7-$C$7)))</f>
        <v>16.3485434954114</v>
      </c>
      <c r="E607" s="26" t="n">
        <f aca="true">MAX(0,$E$7+$F$7*_xlfn.NORM.S.INV(RAND()))</f>
        <v>2.88734376483666</v>
      </c>
      <c r="F607" s="27" t="n">
        <f aca="false">1/(1+EXP(-03_Inputs_Assumptions!$B$14*(E607-03_Inputs_Assumptions!$B$5)))</f>
        <v>0.0106850828427368</v>
      </c>
      <c r="G607" s="28" t="n">
        <f aca="false">D607*04_Baseline_PnL!$B$15*F607*04_Baseline_PnL!$B$14</f>
        <v>49951.2593540531</v>
      </c>
      <c r="H607" s="28" t="n">
        <f aca="false">D607*03_Inputs_Assumptions!$B$13*01_Macro_Data!$B$97*($G$7-1)+D607*04_Baseline_PnL!$B$15*04_Baseline_PnL!$B$13*03_Inputs_Assumptions!$B$15*($H$7-1)</f>
        <v>166441.251618085</v>
      </c>
      <c r="I607" s="16" t="n">
        <f aca="false">G607+H607</f>
        <v>216392.510972138</v>
      </c>
    </row>
    <row r="608" customFormat="false" ht="15" hidden="false" customHeight="true" outlineLevel="0" collapsed="false">
      <c r="A608" s="4" t="s">
        <v>303</v>
      </c>
      <c r="B608" s="4" t="n">
        <v>298</v>
      </c>
      <c r="C608" s="24" t="n">
        <f aca="true">RAND()</f>
        <v>0.603752115748992</v>
      </c>
      <c r="D608" s="25" t="n">
        <f aca="false">IF(C608&lt;(($C$7-$B$7)/($D$7-$B$7)),$B$7+SQRT(C608*($D$7-$B$7)*($C$7-$B$7)),$D$7-SQRT((1-C608)*($D$7-$B$7)*($D$7-$C$7)))</f>
        <v>18.9526316097764</v>
      </c>
      <c r="E608" s="26" t="n">
        <f aca="true">MAX(0,$E$7+$F$7*_xlfn.NORM.S.INV(RAND()))</f>
        <v>2.94818575351653</v>
      </c>
      <c r="F608" s="27" t="n">
        <f aca="false">1/(1+EXP(-03_Inputs_Assumptions!$B$14*(E608-03_Inputs_Assumptions!$B$5)))</f>
        <v>0.0108470742011398</v>
      </c>
      <c r="G608" s="28" t="n">
        <f aca="false">D608*04_Baseline_PnL!$B$15*F608*04_Baseline_PnL!$B$14</f>
        <v>58785.6890911393</v>
      </c>
      <c r="H608" s="28" t="n">
        <f aca="false">D608*03_Inputs_Assumptions!$B$13*01_Macro_Data!$B$97*($G$7-1)+D608*04_Baseline_PnL!$B$15*04_Baseline_PnL!$B$13*03_Inputs_Assumptions!$B$15*($H$7-1)</f>
        <v>192952.951892812</v>
      </c>
      <c r="I608" s="16" t="n">
        <f aca="false">G608+H608</f>
        <v>251738.640983952</v>
      </c>
    </row>
    <row r="609" customFormat="false" ht="15" hidden="false" customHeight="true" outlineLevel="0" collapsed="false">
      <c r="A609" s="4" t="s">
        <v>303</v>
      </c>
      <c r="B609" s="4" t="n">
        <v>299</v>
      </c>
      <c r="C609" s="24" t="n">
        <f aca="true">RAND()</f>
        <v>0.963213393526306</v>
      </c>
      <c r="D609" s="25" t="n">
        <f aca="false">IF(C609&lt;(($C$7-$B$7)/($D$7-$B$7)),$B$7+SQRT(C609*($D$7-$B$7)*($C$7-$B$7)),$D$7-SQRT((1-C609)*($D$7-$B$7)*($D$7-$C$7)))</f>
        <v>26.6339526453275</v>
      </c>
      <c r="E609" s="26" t="n">
        <f aca="true">MAX(0,$E$7+$F$7*_xlfn.NORM.S.INV(RAND()))</f>
        <v>4.00453653308739</v>
      </c>
      <c r="F609" s="27" t="n">
        <f aca="false">1/(1+EXP(-03_Inputs_Assumptions!$B$14*(E609-03_Inputs_Assumptions!$B$5)))</f>
        <v>0.0140793614251547</v>
      </c>
      <c r="G609" s="28" t="n">
        <f aca="false">D609*04_Baseline_PnL!$B$15*F609*04_Baseline_PnL!$B$14</f>
        <v>107227.964564977</v>
      </c>
      <c r="H609" s="28" t="n">
        <f aca="false">D609*03_Inputs_Assumptions!$B$13*01_Macro_Data!$B$97*($G$7-1)+D609*04_Baseline_PnL!$B$15*04_Baseline_PnL!$B$13*03_Inputs_Assumptions!$B$15*($H$7-1)</f>
        <v>271154.94509155</v>
      </c>
      <c r="I609" s="16" t="n">
        <f aca="false">G609+H609</f>
        <v>378382.909656528</v>
      </c>
    </row>
    <row r="610" customFormat="false" ht="15" hidden="false" customHeight="true" outlineLevel="0" collapsed="false">
      <c r="A610" s="4" t="s">
        <v>303</v>
      </c>
      <c r="B610" s="4" t="n">
        <v>300</v>
      </c>
      <c r="C610" s="24" t="n">
        <f aca="true">RAND()</f>
        <v>0.283262549840344</v>
      </c>
      <c r="D610" s="25" t="n">
        <f aca="false">IF(C610&lt;(($C$7-$B$7)/($D$7-$B$7)),$B$7+SQRT(C610*($D$7-$B$7)*($C$7-$B$7)),$D$7-SQRT((1-C610)*($D$7-$B$7)*($D$7-$C$7)))</f>
        <v>15.0607512894805</v>
      </c>
      <c r="E610" s="26" t="n">
        <f aca="true">MAX(0,$E$7+$F$7*_xlfn.NORM.S.INV(RAND()))</f>
        <v>0.930976996303477</v>
      </c>
      <c r="F610" s="27" t="n">
        <f aca="false">1/(1+EXP(-03_Inputs_Assumptions!$B$14*(E610-03_Inputs_Assumptions!$B$5)))</f>
        <v>0.00657910478760101</v>
      </c>
      <c r="G610" s="28" t="n">
        <f aca="false">D610*04_Baseline_PnL!$B$15*F610*04_Baseline_PnL!$B$14</f>
        <v>28333.6758829233</v>
      </c>
      <c r="H610" s="28" t="n">
        <f aca="false">D610*03_Inputs_Assumptions!$B$13*01_Macro_Data!$B$97*($G$7-1)+D610*04_Baseline_PnL!$B$15*04_Baseline_PnL!$B$13*03_Inputs_Assumptions!$B$15*($H$7-1)</f>
        <v>153330.496727943</v>
      </c>
      <c r="I610" s="16" t="n">
        <f aca="false">G610+H610</f>
        <v>181664.172610867</v>
      </c>
    </row>
    <row r="611" customFormat="false" ht="15" hidden="false" customHeight="true" outlineLevel="0" collapsed="false">
      <c r="A611" s="4" t="s">
        <v>304</v>
      </c>
      <c r="B611" s="4" t="n">
        <v>1</v>
      </c>
      <c r="C611" s="24" t="n">
        <f aca="true">RAND()</f>
        <v>0.404154703493415</v>
      </c>
      <c r="D611" s="25" t="n">
        <f aca="false">IF(C611&lt;(($C$8-$B$8)/($D$8-$B$8)),$B$8+SQRT(C611*($D$8-$B$8)*($C$8-$B$8)),$D$8-SQRT((1-C611)*($D$8-$B$8)*($D$8-$C$8)))</f>
        <v>9.09582563078489</v>
      </c>
      <c r="E611" s="26" t="n">
        <f aca="true">MAX(0,$E$8+$F$8*_xlfn.NORM.S.INV(RAND()))</f>
        <v>0</v>
      </c>
      <c r="F611" s="27" t="n">
        <f aca="false">1/(1+EXP(-03_Inputs_Assumptions!$B$14*(E611-03_Inputs_Assumptions!$B$5)))</f>
        <v>0.0052201256935584</v>
      </c>
      <c r="G611" s="28" t="n">
        <f aca="false">D611*04_Baseline_PnL!$B$15*F611*04_Baseline_PnL!$B$14</f>
        <v>13577.2735415718</v>
      </c>
      <c r="H611" s="28" t="n">
        <f aca="false">D611*03_Inputs_Assumptions!$B$13*01_Macro_Data!$B$97*($G$8-1)+D611*04_Baseline_PnL!$B$15*04_Baseline_PnL!$B$13*03_Inputs_Assumptions!$B$15*($H$8-1)</f>
        <v>164128.317352593</v>
      </c>
      <c r="I611" s="16" t="n">
        <f aca="false">G611+H611</f>
        <v>177705.590894164</v>
      </c>
    </row>
    <row r="612" customFormat="false" ht="15" hidden="false" customHeight="true" outlineLevel="0" collapsed="false">
      <c r="A612" s="4" t="s">
        <v>304</v>
      </c>
      <c r="B612" s="4" t="n">
        <v>2</v>
      </c>
      <c r="C612" s="24" t="n">
        <f aca="true">RAND()</f>
        <v>0.579739145934123</v>
      </c>
      <c r="D612" s="25" t="n">
        <f aca="false">IF(C612&lt;(($C$8-$B$8)/($D$8-$B$8)),$B$8+SQRT(C612*($D$8-$B$8)*($C$8-$B$8)),$D$8-SQRT((1-C612)*($D$8-$B$8)*($D$8-$C$8)))</f>
        <v>10.2016495168652</v>
      </c>
      <c r="E612" s="26" t="n">
        <f aca="true">MAX(0,$E$8+$F$8*_xlfn.NORM.S.INV(RAND()))</f>
        <v>0</v>
      </c>
      <c r="F612" s="27" t="n">
        <f aca="false">1/(1+EXP(-03_Inputs_Assumptions!$B$14*(E612-03_Inputs_Assumptions!$B$5)))</f>
        <v>0.0052201256935584</v>
      </c>
      <c r="G612" s="28" t="n">
        <f aca="false">D612*04_Baseline_PnL!$B$15*F612*04_Baseline_PnL!$B$14</f>
        <v>15227.9289080622</v>
      </c>
      <c r="H612" s="28" t="n">
        <f aca="false">D612*03_Inputs_Assumptions!$B$13*01_Macro_Data!$B$97*($G$8-1)+D612*04_Baseline_PnL!$B$15*04_Baseline_PnL!$B$13*03_Inputs_Assumptions!$B$15*($H$8-1)</f>
        <v>184082.197415594</v>
      </c>
      <c r="I612" s="16" t="n">
        <f aca="false">G612+H612</f>
        <v>199310.126323656</v>
      </c>
    </row>
    <row r="613" customFormat="false" ht="15" hidden="false" customHeight="true" outlineLevel="0" collapsed="false">
      <c r="A613" s="4" t="s">
        <v>304</v>
      </c>
      <c r="B613" s="4" t="n">
        <v>3</v>
      </c>
      <c r="C613" s="24" t="n">
        <f aca="true">RAND()</f>
        <v>0.128066523186854</v>
      </c>
      <c r="D613" s="25" t="n">
        <f aca="false">IF(C613&lt;(($C$8-$B$8)/($D$8-$B$8)),$B$8+SQRT(C613*($D$8-$B$8)*($C$8-$B$8)),$D$8-SQRT((1-C613)*($D$8-$B$8)*($D$8-$C$8)))</f>
        <v>7.60041571591167</v>
      </c>
      <c r="E613" s="26" t="n">
        <f aca="true">MAX(0,$E$8+$F$8*_xlfn.NORM.S.INV(RAND()))</f>
        <v>0</v>
      </c>
      <c r="F613" s="27" t="n">
        <f aca="false">1/(1+EXP(-03_Inputs_Assumptions!$B$14*(E613-03_Inputs_Assumptions!$B$5)))</f>
        <v>0.0052201256935584</v>
      </c>
      <c r="G613" s="28" t="n">
        <f aca="false">D613*04_Baseline_PnL!$B$15*F613*04_Baseline_PnL!$B$14</f>
        <v>11345.0859101055</v>
      </c>
      <c r="H613" s="28" t="n">
        <f aca="false">D613*03_Inputs_Assumptions!$B$13*01_Macro_Data!$B$97*($G$8-1)+D613*04_Baseline_PnL!$B$15*04_Baseline_PnL!$B$13*03_Inputs_Assumptions!$B$15*($H$8-1)</f>
        <v>137144.608226745</v>
      </c>
      <c r="I613" s="16" t="n">
        <f aca="false">G613+H613</f>
        <v>148489.694136851</v>
      </c>
    </row>
    <row r="614" customFormat="false" ht="15" hidden="false" customHeight="true" outlineLevel="0" collapsed="false">
      <c r="A614" s="4" t="s">
        <v>304</v>
      </c>
      <c r="B614" s="4" t="n">
        <v>4</v>
      </c>
      <c r="C614" s="24" t="n">
        <f aca="true">RAND()</f>
        <v>0.115726069422197</v>
      </c>
      <c r="D614" s="25" t="n">
        <f aca="false">IF(C614&lt;(($C$8-$B$8)/($D$8-$B$8)),$B$8+SQRT(C614*($D$8-$B$8)*($C$8-$B$8)),$D$8-SQRT((1-C614)*($D$8-$B$8)*($D$8-$C$8)))</f>
        <v>7.52135511582403</v>
      </c>
      <c r="E614" s="26" t="n">
        <f aca="true">MAX(0,$E$8+$F$8*_xlfn.NORM.S.INV(RAND()))</f>
        <v>0.0980063553366119</v>
      </c>
      <c r="F614" s="27" t="n">
        <f aca="false">1/(1+EXP(-03_Inputs_Assumptions!$B$14*(E614-03_Inputs_Assumptions!$B$5)))</f>
        <v>0.00534891425276535</v>
      </c>
      <c r="G614" s="28" t="n">
        <f aca="false">D614*04_Baseline_PnL!$B$15*F614*04_Baseline_PnL!$B$14</f>
        <v>11504.0619359469</v>
      </c>
      <c r="H614" s="28" t="n">
        <f aca="false">D614*03_Inputs_Assumptions!$B$13*01_Macro_Data!$B$97*($G$8-1)+D614*04_Baseline_PnL!$B$15*04_Baseline_PnL!$B$13*03_Inputs_Assumptions!$B$15*($H$8-1)</f>
        <v>135718.010599659</v>
      </c>
      <c r="I614" s="16" t="n">
        <f aca="false">G614+H614</f>
        <v>147222.072535606</v>
      </c>
    </row>
    <row r="615" customFormat="false" ht="15" hidden="false" customHeight="true" outlineLevel="0" collapsed="false">
      <c r="A615" s="4" t="s">
        <v>304</v>
      </c>
      <c r="B615" s="4" t="n">
        <v>5</v>
      </c>
      <c r="C615" s="24" t="n">
        <f aca="true">RAND()</f>
        <v>0.86785940437526</v>
      </c>
      <c r="D615" s="25" t="n">
        <f aca="false">IF(C615&lt;(($C$8-$B$8)/($D$8-$B$8)),$B$8+SQRT(C615*($D$8-$B$8)*($C$8-$B$8)),$D$8-SQRT((1-C615)*($D$8-$B$8)*($D$8-$C$8)))</f>
        <v>12.7486544862197</v>
      </c>
      <c r="E615" s="26" t="n">
        <f aca="true">MAX(0,$E$8+$F$8*_xlfn.NORM.S.INV(RAND()))</f>
        <v>0</v>
      </c>
      <c r="F615" s="27" t="n">
        <f aca="false">1/(1+EXP(-03_Inputs_Assumptions!$B$14*(E615-03_Inputs_Assumptions!$B$5)))</f>
        <v>0.0052201256935584</v>
      </c>
      <c r="G615" s="28" t="n">
        <f aca="false">D615*04_Baseline_PnL!$B$15*F615*04_Baseline_PnL!$B$14</f>
        <v>19029.8249188684</v>
      </c>
      <c r="H615" s="28" t="n">
        <f aca="false">D615*03_Inputs_Assumptions!$B$13*01_Macro_Data!$B$97*($G$8-1)+D615*04_Baseline_PnL!$B$15*04_Baseline_PnL!$B$13*03_Inputs_Assumptions!$B$15*($H$8-1)</f>
        <v>230041.262252327</v>
      </c>
      <c r="I615" s="16" t="n">
        <f aca="false">G615+H615</f>
        <v>249071.087171195</v>
      </c>
    </row>
    <row r="616" customFormat="false" ht="15" hidden="false" customHeight="true" outlineLevel="0" collapsed="false">
      <c r="A616" s="4" t="s">
        <v>304</v>
      </c>
      <c r="B616" s="4" t="n">
        <v>6</v>
      </c>
      <c r="C616" s="24" t="n">
        <f aca="true">RAND()</f>
        <v>0.809391165869186</v>
      </c>
      <c r="D616" s="25" t="n">
        <f aca="false">IF(C616&lt;(($C$8-$B$8)/($D$8-$B$8)),$B$8+SQRT(C616*($D$8-$B$8)*($C$8-$B$8)),$D$8-SQRT((1-C616)*($D$8-$B$8)*($D$8-$C$8)))</f>
        <v>12.0950407517536</v>
      </c>
      <c r="E616" s="26" t="n">
        <f aca="true">MAX(0,$E$8+$F$8*_xlfn.NORM.S.INV(RAND()))</f>
        <v>0.0810762080786886</v>
      </c>
      <c r="F616" s="27" t="n">
        <f aca="false">1/(1+EXP(-03_Inputs_Assumptions!$B$14*(E616-03_Inputs_Assumptions!$B$5)))</f>
        <v>0.00532644295300139</v>
      </c>
      <c r="G616" s="28" t="n">
        <f aca="false">D616*04_Baseline_PnL!$B$15*F616*04_Baseline_PnL!$B$14</f>
        <v>18421.8862886384</v>
      </c>
      <c r="H616" s="28" t="n">
        <f aca="false">D616*03_Inputs_Assumptions!$B$13*01_Macro_Data!$B$97*($G$8-1)+D616*04_Baseline_PnL!$B$15*04_Baseline_PnL!$B$13*03_Inputs_Assumptions!$B$15*($H$8-1)</f>
        <v>218247.223229262</v>
      </c>
      <c r="I616" s="16" t="n">
        <f aca="false">G616+H616</f>
        <v>236669.109517901</v>
      </c>
    </row>
    <row r="617" customFormat="false" ht="15" hidden="false" customHeight="true" outlineLevel="0" collapsed="false">
      <c r="A617" s="4" t="s">
        <v>304</v>
      </c>
      <c r="B617" s="4" t="n">
        <v>7</v>
      </c>
      <c r="C617" s="24" t="n">
        <f aca="true">RAND()</f>
        <v>0.328911319648323</v>
      </c>
      <c r="D617" s="25" t="n">
        <f aca="false">IF(C617&lt;(($C$8-$B$8)/($D$8-$B$8)),$B$8+SQRT(C617*($D$8-$B$8)*($C$8-$B$8)),$D$8-SQRT((1-C617)*($D$8-$B$8)*($D$8-$C$8)))</f>
        <v>8.67285223104282</v>
      </c>
      <c r="E617" s="26" t="n">
        <f aca="true">MAX(0,$E$8+$F$8*_xlfn.NORM.S.INV(RAND()))</f>
        <v>0</v>
      </c>
      <c r="F617" s="27" t="n">
        <f aca="false">1/(1+EXP(-03_Inputs_Assumptions!$B$14*(E617-03_Inputs_Assumptions!$B$5)))</f>
        <v>0.0052201256935584</v>
      </c>
      <c r="G617" s="28" t="n">
        <f aca="false">D617*04_Baseline_PnL!$B$15*F617*04_Baseline_PnL!$B$14</f>
        <v>12945.9041879565</v>
      </c>
      <c r="H617" s="28" t="n">
        <f aca="false">D617*03_Inputs_Assumptions!$B$13*01_Macro_Data!$B$97*($G$8-1)+D617*04_Baseline_PnL!$B$15*04_Baseline_PnL!$B$13*03_Inputs_Assumptions!$B$15*($H$8-1)</f>
        <v>156496.034676723</v>
      </c>
      <c r="I617" s="16" t="n">
        <f aca="false">G617+H617</f>
        <v>169441.938864679</v>
      </c>
    </row>
    <row r="618" customFormat="false" ht="15" hidden="false" customHeight="true" outlineLevel="0" collapsed="false">
      <c r="A618" s="4" t="s">
        <v>304</v>
      </c>
      <c r="B618" s="4" t="n">
        <v>8</v>
      </c>
      <c r="C618" s="24" t="n">
        <f aca="true">RAND()</f>
        <v>0.62620669833905</v>
      </c>
      <c r="D618" s="25" t="n">
        <f aca="false">IF(C618&lt;(($C$8-$B$8)/($D$8-$B$8)),$B$8+SQRT(C618*($D$8-$B$8)*($C$8-$B$8)),$D$8-SQRT((1-C618)*($D$8-$B$8)*($D$8-$C$8)))</f>
        <v>10.5315940043852</v>
      </c>
      <c r="E618" s="26" t="n">
        <f aca="true">MAX(0,$E$8+$F$8*_xlfn.NORM.S.INV(RAND()))</f>
        <v>1.04426572181593</v>
      </c>
      <c r="F618" s="27" t="n">
        <f aca="false">1/(1+EXP(-03_Inputs_Assumptions!$B$14*(E618-03_Inputs_Assumptions!$B$5)))</f>
        <v>0.00676682425762146</v>
      </c>
      <c r="G618" s="28" t="n">
        <f aca="false">D618*04_Baseline_PnL!$B$15*F618*04_Baseline_PnL!$B$14</f>
        <v>20378.3251459438</v>
      </c>
      <c r="H618" s="28" t="n">
        <f aca="false">D618*03_Inputs_Assumptions!$B$13*01_Macro_Data!$B$97*($G$8-1)+D618*04_Baseline_PnL!$B$15*04_Baseline_PnL!$B$13*03_Inputs_Assumptions!$B$15*($H$8-1)</f>
        <v>190035.833265115</v>
      </c>
      <c r="I618" s="16" t="n">
        <f aca="false">G618+H618</f>
        <v>210414.158411058</v>
      </c>
    </row>
    <row r="619" customFormat="false" ht="15" hidden="false" customHeight="true" outlineLevel="0" collapsed="false">
      <c r="A619" s="4" t="s">
        <v>304</v>
      </c>
      <c r="B619" s="4" t="n">
        <v>9</v>
      </c>
      <c r="C619" s="24" t="n">
        <f aca="true">RAND()</f>
        <v>0.116663523321969</v>
      </c>
      <c r="D619" s="25" t="n">
        <f aca="false">IF(C619&lt;(($C$8-$B$8)/($D$8-$B$8)),$B$8+SQRT(C619*($D$8-$B$8)*($C$8-$B$8)),$D$8-SQRT((1-C619)*($D$8-$B$8)*($D$8-$C$8)))</f>
        <v>7.52750465349189</v>
      </c>
      <c r="E619" s="26" t="n">
        <f aca="true">MAX(0,$E$8+$F$8*_xlfn.NORM.S.INV(RAND()))</f>
        <v>0.909515727502819</v>
      </c>
      <c r="F619" s="27" t="n">
        <f aca="false">1/(1+EXP(-03_Inputs_Assumptions!$B$14*(E619-03_Inputs_Assumptions!$B$5)))</f>
        <v>0.00654413071209144</v>
      </c>
      <c r="G619" s="28" t="n">
        <f aca="false">D619*04_Baseline_PnL!$B$15*F619*04_Baseline_PnL!$B$14</f>
        <v>14086.155528812</v>
      </c>
      <c r="H619" s="28" t="n">
        <f aca="false">D619*03_Inputs_Assumptions!$B$13*01_Macro_Data!$B$97*($G$8-1)+D619*04_Baseline_PnL!$B$15*04_Baseline_PnL!$B$13*03_Inputs_Assumptions!$B$15*($H$8-1)</f>
        <v>135828.975047626</v>
      </c>
      <c r="I619" s="16" t="n">
        <f aca="false">G619+H619</f>
        <v>149915.130576438</v>
      </c>
    </row>
    <row r="620" customFormat="false" ht="15" hidden="false" customHeight="true" outlineLevel="0" collapsed="false">
      <c r="A620" s="4" t="s">
        <v>304</v>
      </c>
      <c r="B620" s="4" t="n">
        <v>10</v>
      </c>
      <c r="C620" s="24" t="n">
        <f aca="true">RAND()</f>
        <v>0.38968695981028</v>
      </c>
      <c r="D620" s="25" t="n">
        <f aca="false">IF(C620&lt;(($C$8-$B$8)/($D$8-$B$8)),$B$8+SQRT(C620*($D$8-$B$8)*($C$8-$B$8)),$D$8-SQRT((1-C620)*($D$8-$B$8)*($D$8-$C$8)))</f>
        <v>9.01250808836407</v>
      </c>
      <c r="E620" s="26" t="n">
        <f aca="true">MAX(0,$E$8+$F$8*_xlfn.NORM.S.INV(RAND()))</f>
        <v>0</v>
      </c>
      <c r="F620" s="27" t="n">
        <f aca="false">1/(1+EXP(-03_Inputs_Assumptions!$B$14*(E620-03_Inputs_Assumptions!$B$5)))</f>
        <v>0.0052201256935584</v>
      </c>
      <c r="G620" s="28" t="n">
        <f aca="false">D620*04_Baseline_PnL!$B$15*F620*04_Baseline_PnL!$B$14</f>
        <v>13452.9060448566</v>
      </c>
      <c r="H620" s="28" t="n">
        <f aca="false">D620*03_Inputs_Assumptions!$B$13*01_Macro_Data!$B$97*($G$8-1)+D620*04_Baseline_PnL!$B$15*04_Baseline_PnL!$B$13*03_Inputs_Assumptions!$B$15*($H$8-1)</f>
        <v>162624.905941846</v>
      </c>
      <c r="I620" s="16" t="n">
        <f aca="false">G620+H620</f>
        <v>176077.811986703</v>
      </c>
    </row>
    <row r="621" customFormat="false" ht="15" hidden="false" customHeight="true" outlineLevel="0" collapsed="false">
      <c r="A621" s="4" t="s">
        <v>304</v>
      </c>
      <c r="B621" s="4" t="n">
        <v>11</v>
      </c>
      <c r="C621" s="24" t="n">
        <f aca="true">RAND()</f>
        <v>0.603858513379152</v>
      </c>
      <c r="D621" s="25" t="n">
        <f aca="false">IF(C621&lt;(($C$8-$B$8)/($D$8-$B$8)),$B$8+SQRT(C621*($D$8-$B$8)*($C$8-$B$8)),$D$8-SQRT((1-C621)*($D$8-$B$8)*($D$8-$C$8)))</f>
        <v>10.370495676379</v>
      </c>
      <c r="E621" s="26" t="n">
        <f aca="true">MAX(0,$E$8+$F$8*_xlfn.NORM.S.INV(RAND()))</f>
        <v>0.122142207368018</v>
      </c>
      <c r="F621" s="27" t="n">
        <f aca="false">1/(1+EXP(-03_Inputs_Assumptions!$B$14*(E621-03_Inputs_Assumptions!$B$5)))</f>
        <v>0.00538111277191747</v>
      </c>
      <c r="G621" s="28" t="n">
        <f aca="false">D621*04_Baseline_PnL!$B$15*F621*04_Baseline_PnL!$B$14</f>
        <v>15957.3617186647</v>
      </c>
      <c r="H621" s="28" t="n">
        <f aca="false">D621*03_Inputs_Assumptions!$B$13*01_Macro_Data!$B$97*($G$8-1)+D621*04_Baseline_PnL!$B$15*04_Baseline_PnL!$B$13*03_Inputs_Assumptions!$B$15*($H$8-1)</f>
        <v>187128.917655993</v>
      </c>
      <c r="I621" s="16" t="n">
        <f aca="false">G621+H621</f>
        <v>203086.279374658</v>
      </c>
    </row>
    <row r="622" customFormat="false" ht="15" hidden="false" customHeight="true" outlineLevel="0" collapsed="false">
      <c r="A622" s="4" t="s">
        <v>304</v>
      </c>
      <c r="B622" s="4" t="n">
        <v>12</v>
      </c>
      <c r="C622" s="24" t="n">
        <f aca="true">RAND()</f>
        <v>0.442986133935219</v>
      </c>
      <c r="D622" s="25" t="n">
        <f aca="false">IF(C622&lt;(($C$8-$B$8)/($D$8-$B$8)),$B$8+SQRT(C622*($D$8-$B$8)*($C$8-$B$8)),$D$8-SQRT((1-C622)*($D$8-$B$8)*($D$8-$C$8)))</f>
        <v>9.32458920476182</v>
      </c>
      <c r="E622" s="26" t="n">
        <f aca="true">MAX(0,$E$8+$F$8*_xlfn.NORM.S.INV(RAND()))</f>
        <v>0</v>
      </c>
      <c r="F622" s="27" t="n">
        <f aca="false">1/(1+EXP(-03_Inputs_Assumptions!$B$14*(E622-03_Inputs_Assumptions!$B$5)))</f>
        <v>0.0052201256935584</v>
      </c>
      <c r="G622" s="28" t="n">
        <f aca="false">D622*04_Baseline_PnL!$B$15*F622*04_Baseline_PnL!$B$14</f>
        <v>13918.7472841775</v>
      </c>
      <c r="H622" s="28" t="n">
        <f aca="false">D622*03_Inputs_Assumptions!$B$13*01_Macro_Data!$B$97*($G$8-1)+D622*04_Baseline_PnL!$B$15*04_Baseline_PnL!$B$13*03_Inputs_Assumptions!$B$15*($H$8-1)</f>
        <v>168256.208760418</v>
      </c>
      <c r="I622" s="16" t="n">
        <f aca="false">G622+H622</f>
        <v>182174.956044596</v>
      </c>
    </row>
    <row r="623" customFormat="false" ht="15" hidden="false" customHeight="true" outlineLevel="0" collapsed="false">
      <c r="A623" s="4" t="s">
        <v>304</v>
      </c>
      <c r="B623" s="4" t="n">
        <v>13</v>
      </c>
      <c r="C623" s="24" t="n">
        <f aca="true">RAND()</f>
        <v>0.927834438220984</v>
      </c>
      <c r="D623" s="25" t="n">
        <f aca="false">IF(C623&lt;(($C$8-$B$8)/($D$8-$B$8)),$B$8+SQRT(C623*($D$8-$B$8)*($C$8-$B$8)),$D$8-SQRT((1-C623)*($D$8-$B$8)*($D$8-$C$8)))</f>
        <v>13.5972422214627</v>
      </c>
      <c r="E623" s="26" t="n">
        <f aca="true">MAX(0,$E$8+$F$8*_xlfn.NORM.S.INV(RAND()))</f>
        <v>1.01620280818139</v>
      </c>
      <c r="F623" s="27" t="n">
        <f aca="false">1/(1+EXP(-03_Inputs_Assumptions!$B$14*(E623-03_Inputs_Assumptions!$B$5)))</f>
        <v>0.00671983410301796</v>
      </c>
      <c r="G623" s="28" t="n">
        <f aca="false">D623*04_Baseline_PnL!$B$15*F623*04_Baseline_PnL!$B$14</f>
        <v>26127.5607899227</v>
      </c>
      <c r="H623" s="28" t="n">
        <f aca="false">D623*03_Inputs_Assumptions!$B$13*01_Macro_Data!$B$97*($G$8-1)+D623*04_Baseline_PnL!$B$15*04_Baseline_PnL!$B$13*03_Inputs_Assumptions!$B$15*($H$8-1)</f>
        <v>245353.481589525</v>
      </c>
      <c r="I623" s="16" t="n">
        <f aca="false">G623+H623</f>
        <v>271481.042379447</v>
      </c>
    </row>
    <row r="624" customFormat="false" ht="15" hidden="false" customHeight="true" outlineLevel="0" collapsed="false">
      <c r="A624" s="4" t="s">
        <v>304</v>
      </c>
      <c r="B624" s="4" t="n">
        <v>14</v>
      </c>
      <c r="C624" s="24" t="n">
        <f aca="true">RAND()</f>
        <v>0.219406609270124</v>
      </c>
      <c r="D624" s="25" t="n">
        <f aca="false">IF(C624&lt;(($C$8-$B$8)/($D$8-$B$8)),$B$8+SQRT(C624*($D$8-$B$8)*($C$8-$B$8)),$D$8-SQRT((1-C624)*($D$8-$B$8)*($D$8-$C$8)))</f>
        <v>8.09762875724064</v>
      </c>
      <c r="E624" s="26" t="n">
        <f aca="true">MAX(0,$E$8+$F$8*_xlfn.NORM.S.INV(RAND()))</f>
        <v>0</v>
      </c>
      <c r="F624" s="27" t="n">
        <f aca="false">1/(1+EXP(-03_Inputs_Assumptions!$B$14*(E624-03_Inputs_Assumptions!$B$5)))</f>
        <v>0.0052201256935584</v>
      </c>
      <c r="G624" s="28" t="n">
        <f aca="false">D624*04_Baseline_PnL!$B$15*F624*04_Baseline_PnL!$B$14</f>
        <v>12087.27224311</v>
      </c>
      <c r="H624" s="28" t="n">
        <f aca="false">D624*03_Inputs_Assumptions!$B$13*01_Macro_Data!$B$97*($G$8-1)+D624*04_Baseline_PnL!$B$15*04_Baseline_PnL!$B$13*03_Inputs_Assumptions!$B$15*($H$8-1)</f>
        <v>146116.497437428</v>
      </c>
      <c r="I624" s="16" t="n">
        <f aca="false">G624+H624</f>
        <v>158203.769680538</v>
      </c>
    </row>
    <row r="625" customFormat="false" ht="15" hidden="false" customHeight="true" outlineLevel="0" collapsed="false">
      <c r="A625" s="4" t="s">
        <v>304</v>
      </c>
      <c r="B625" s="4" t="n">
        <v>15</v>
      </c>
      <c r="C625" s="24" t="n">
        <f aca="true">RAND()</f>
        <v>0.0356857811081507</v>
      </c>
      <c r="D625" s="25" t="n">
        <f aca="false">IF(C625&lt;(($C$8-$B$8)/($D$8-$B$8)),$B$8+SQRT(C625*($D$8-$B$8)*($C$8-$B$8)),$D$8-SQRT((1-C625)*($D$8-$B$8)*($D$8-$C$8)))</f>
        <v>6.84481691635704</v>
      </c>
      <c r="E625" s="26" t="n">
        <f aca="true">MAX(0,$E$8+$F$8*_xlfn.NORM.S.INV(RAND()))</f>
        <v>0</v>
      </c>
      <c r="F625" s="27" t="n">
        <f aca="false">1/(1+EXP(-03_Inputs_Assumptions!$B$14*(E625-03_Inputs_Assumptions!$B$5)))</f>
        <v>0.0052201256935584</v>
      </c>
      <c r="G625" s="28" t="n">
        <f aca="false">D625*04_Baseline_PnL!$B$15*F625*04_Baseline_PnL!$B$14</f>
        <v>10217.2090129809</v>
      </c>
      <c r="H625" s="28" t="n">
        <f aca="false">D625*03_Inputs_Assumptions!$B$13*01_Macro_Data!$B$97*($G$8-1)+D625*04_Baseline_PnL!$B$15*04_Baseline_PnL!$B$13*03_Inputs_Assumptions!$B$15*($H$8-1)</f>
        <v>123510.314365085</v>
      </c>
      <c r="I625" s="16" t="n">
        <f aca="false">G625+H625</f>
        <v>133727.523378066</v>
      </c>
    </row>
    <row r="626" customFormat="false" ht="15" hidden="false" customHeight="true" outlineLevel="0" collapsed="false">
      <c r="A626" s="4" t="s">
        <v>304</v>
      </c>
      <c r="B626" s="4" t="n">
        <v>16</v>
      </c>
      <c r="C626" s="24" t="n">
        <f aca="true">RAND()</f>
        <v>0.844369209490926</v>
      </c>
      <c r="D626" s="25" t="n">
        <f aca="false">IF(C626&lt;(($C$8-$B$8)/($D$8-$B$8)),$B$8+SQRT(C626*($D$8-$B$8)*($C$8-$B$8)),$D$8-SQRT((1-C626)*($D$8-$B$8)*($D$8-$C$8)))</f>
        <v>12.4714786041848</v>
      </c>
      <c r="E626" s="26" t="n">
        <f aca="true">MAX(0,$E$8+$F$8*_xlfn.NORM.S.INV(RAND()))</f>
        <v>0.0489388840868416</v>
      </c>
      <c r="F626" s="27" t="n">
        <f aca="false">1/(1+EXP(-03_Inputs_Assumptions!$B$14*(E626-03_Inputs_Assumptions!$B$5)))</f>
        <v>0.00528404522161994</v>
      </c>
      <c r="G626" s="28" t="n">
        <f aca="false">D626*04_Baseline_PnL!$B$15*F626*04_Baseline_PnL!$B$14</f>
        <v>18844.0372018231</v>
      </c>
      <c r="H626" s="28" t="n">
        <f aca="false">D626*03_Inputs_Assumptions!$B$13*01_Macro_Data!$B$97*($G$8-1)+D626*04_Baseline_PnL!$B$15*04_Baseline_PnL!$B$13*03_Inputs_Assumptions!$B$15*($H$8-1)</f>
        <v>225039.801914834</v>
      </c>
      <c r="I626" s="16" t="n">
        <f aca="false">G626+H626</f>
        <v>243883.839116658</v>
      </c>
    </row>
    <row r="627" customFormat="false" ht="15" hidden="false" customHeight="true" outlineLevel="0" collapsed="false">
      <c r="A627" s="4" t="s">
        <v>304</v>
      </c>
      <c r="B627" s="4" t="n">
        <v>17</v>
      </c>
      <c r="C627" s="24" t="n">
        <f aca="true">RAND()</f>
        <v>0.842939462572949</v>
      </c>
      <c r="D627" s="25" t="n">
        <f aca="false">IF(C627&lt;(($C$8-$B$8)/($D$8-$B$8)),$B$8+SQRT(C627*($D$8-$B$8)*($C$8-$B$8)),$D$8-SQRT((1-C627)*($D$8-$B$8)*($D$8-$C$8)))</f>
        <v>12.4553077715881</v>
      </c>
      <c r="E627" s="26" t="n">
        <f aca="true">MAX(0,$E$8+$F$8*_xlfn.NORM.S.INV(RAND()))</f>
        <v>0</v>
      </c>
      <c r="F627" s="27" t="n">
        <f aca="false">1/(1+EXP(-03_Inputs_Assumptions!$B$14*(E627-03_Inputs_Assumptions!$B$5)))</f>
        <v>0.0052201256935584</v>
      </c>
      <c r="G627" s="28" t="n">
        <f aca="false">D627*04_Baseline_PnL!$B$15*F627*04_Baseline_PnL!$B$14</f>
        <v>18591.9483864076</v>
      </c>
      <c r="H627" s="28" t="n">
        <f aca="false">D627*03_Inputs_Assumptions!$B$13*01_Macro_Data!$B$97*($G$8-1)+D627*04_Baseline_PnL!$B$15*04_Baseline_PnL!$B$13*03_Inputs_Assumptions!$B$15*($H$8-1)</f>
        <v>224748.009651875</v>
      </c>
      <c r="I627" s="16" t="n">
        <f aca="false">G627+H627</f>
        <v>243339.958038283</v>
      </c>
    </row>
    <row r="628" customFormat="false" ht="15" hidden="false" customHeight="true" outlineLevel="0" collapsed="false">
      <c r="A628" s="4" t="s">
        <v>304</v>
      </c>
      <c r="B628" s="4" t="n">
        <v>18</v>
      </c>
      <c r="C628" s="24" t="n">
        <f aca="true">RAND()</f>
        <v>0.536183966878619</v>
      </c>
      <c r="D628" s="25" t="n">
        <f aca="false">IF(C628&lt;(($C$8-$B$8)/($D$8-$B$8)),$B$8+SQRT(C628*($D$8-$B$8)*($C$8-$B$8)),$D$8-SQRT((1-C628)*($D$8-$B$8)*($D$8-$C$8)))</f>
        <v>9.90858943677981</v>
      </c>
      <c r="E628" s="26" t="n">
        <f aca="true">MAX(0,$E$8+$F$8*_xlfn.NORM.S.INV(RAND()))</f>
        <v>0.129449363165033</v>
      </c>
      <c r="F628" s="27" t="n">
        <f aca="false">1/(1+EXP(-03_Inputs_Assumptions!$B$14*(E628-03_Inputs_Assumptions!$B$5)))</f>
        <v>0.00539089887172776</v>
      </c>
      <c r="G628" s="28" t="n">
        <f aca="false">D628*04_Baseline_PnL!$B$15*F628*04_Baseline_PnL!$B$14</f>
        <v>15274.3416309683</v>
      </c>
      <c r="H628" s="28" t="n">
        <f aca="false">D628*03_Inputs_Assumptions!$B$13*01_Macro_Data!$B$97*($G$8-1)+D628*04_Baseline_PnL!$B$15*04_Baseline_PnL!$B$13*03_Inputs_Assumptions!$B$15*($H$8-1)</f>
        <v>178794.116950988</v>
      </c>
      <c r="I628" s="16" t="n">
        <f aca="false">G628+H628</f>
        <v>194068.458581956</v>
      </c>
    </row>
    <row r="629" customFormat="false" ht="15" hidden="false" customHeight="true" outlineLevel="0" collapsed="false">
      <c r="A629" s="4" t="s">
        <v>304</v>
      </c>
      <c r="B629" s="4" t="n">
        <v>19</v>
      </c>
      <c r="C629" s="24" t="n">
        <f aca="true">RAND()</f>
        <v>0.14484836274235</v>
      </c>
      <c r="D629" s="25" t="n">
        <f aca="false">IF(C629&lt;(($C$8-$B$8)/($D$8-$B$8)),$B$8+SQRT(C629*($D$8-$B$8)*($C$8-$B$8)),$D$8-SQRT((1-C629)*($D$8-$B$8)*($D$8-$C$8)))</f>
        <v>7.70204795903259</v>
      </c>
      <c r="E629" s="26" t="n">
        <f aca="true">MAX(0,$E$8+$F$8*_xlfn.NORM.S.INV(RAND()))</f>
        <v>0</v>
      </c>
      <c r="F629" s="27" t="n">
        <f aca="false">1/(1+EXP(-03_Inputs_Assumptions!$B$14*(E629-03_Inputs_Assumptions!$B$5)))</f>
        <v>0.0052201256935584</v>
      </c>
      <c r="G629" s="28" t="n">
        <f aca="false">D629*04_Baseline_PnL!$B$15*F629*04_Baseline_PnL!$B$14</f>
        <v>11496.7916289163</v>
      </c>
      <c r="H629" s="28" t="n">
        <f aca="false">D629*03_Inputs_Assumptions!$B$13*01_Macro_Data!$B$97*($G$8-1)+D629*04_Baseline_PnL!$B$15*04_Baseline_PnL!$B$13*03_Inputs_Assumptions!$B$15*($H$8-1)</f>
        <v>138978.496620092</v>
      </c>
      <c r="I629" s="16" t="n">
        <f aca="false">G629+H629</f>
        <v>150475.288249009</v>
      </c>
    </row>
    <row r="630" customFormat="false" ht="15" hidden="false" customHeight="true" outlineLevel="0" collapsed="false">
      <c r="A630" s="4" t="s">
        <v>304</v>
      </c>
      <c r="B630" s="4" t="n">
        <v>20</v>
      </c>
      <c r="C630" s="24" t="n">
        <f aca="true">RAND()</f>
        <v>0.845281116982886</v>
      </c>
      <c r="D630" s="25" t="n">
        <f aca="false">IF(C630&lt;(($C$8-$B$8)/($D$8-$B$8)),$B$8+SQRT(C630*($D$8-$B$8)*($C$8-$B$8)),$D$8-SQRT((1-C630)*($D$8-$B$8)*($D$8-$C$8)))</f>
        <v>12.4818313512043</v>
      </c>
      <c r="E630" s="26" t="n">
        <f aca="true">MAX(0,$E$8+$F$8*_xlfn.NORM.S.INV(RAND()))</f>
        <v>0</v>
      </c>
      <c r="F630" s="27" t="n">
        <f aca="false">1/(1+EXP(-03_Inputs_Assumptions!$B$14*(E630-03_Inputs_Assumptions!$B$5)))</f>
        <v>0.0052201256935584</v>
      </c>
      <c r="G630" s="28" t="n">
        <f aca="false">D630*04_Baseline_PnL!$B$15*F630*04_Baseline_PnL!$B$14</f>
        <v>18631.5399430589</v>
      </c>
      <c r="H630" s="28" t="n">
        <f aca="false">D630*03_Inputs_Assumptions!$B$13*01_Macro_Data!$B$97*($G$8-1)+D630*04_Baseline_PnL!$B$15*04_Baseline_PnL!$B$13*03_Inputs_Assumptions!$B$15*($H$8-1)</f>
        <v>225226.610569404</v>
      </c>
      <c r="I630" s="16" t="n">
        <f aca="false">G630+H630</f>
        <v>243858.150512463</v>
      </c>
    </row>
    <row r="631" customFormat="false" ht="15" hidden="false" customHeight="true" outlineLevel="0" collapsed="false">
      <c r="A631" s="4" t="s">
        <v>304</v>
      </c>
      <c r="B631" s="4" t="n">
        <v>21</v>
      </c>
      <c r="C631" s="24" t="n">
        <f aca="true">RAND()</f>
        <v>0.190509475739695</v>
      </c>
      <c r="D631" s="25" t="n">
        <f aca="false">IF(C631&lt;(($C$8-$B$8)/($D$8-$B$8)),$B$8+SQRT(C631*($D$8-$B$8)*($C$8-$B$8)),$D$8-SQRT((1-C631)*($D$8-$B$8)*($D$8-$C$8)))</f>
        <v>7.9519706746757</v>
      </c>
      <c r="E631" s="26" t="n">
        <f aca="true">MAX(0,$E$8+$F$8*_xlfn.NORM.S.INV(RAND()))</f>
        <v>0</v>
      </c>
      <c r="F631" s="27" t="n">
        <f aca="false">1/(1+EXP(-03_Inputs_Assumptions!$B$14*(E631-03_Inputs_Assumptions!$B$5)))</f>
        <v>0.0052201256935584</v>
      </c>
      <c r="G631" s="28" t="n">
        <f aca="false">D631*04_Baseline_PnL!$B$15*F631*04_Baseline_PnL!$B$14</f>
        <v>11869.8494702028</v>
      </c>
      <c r="H631" s="28" t="n">
        <f aca="false">D631*03_Inputs_Assumptions!$B$13*01_Macro_Data!$B$97*($G$8-1)+D631*04_Baseline_PnL!$B$15*04_Baseline_PnL!$B$13*03_Inputs_Assumptions!$B$15*($H$8-1)</f>
        <v>143488.191116419</v>
      </c>
      <c r="I631" s="16" t="n">
        <f aca="false">G631+H631</f>
        <v>155358.040586622</v>
      </c>
    </row>
    <row r="632" customFormat="false" ht="15" hidden="false" customHeight="true" outlineLevel="0" collapsed="false">
      <c r="A632" s="4" t="s">
        <v>304</v>
      </c>
      <c r="B632" s="4" t="n">
        <v>22</v>
      </c>
      <c r="C632" s="24" t="n">
        <f aca="true">RAND()</f>
        <v>0.147743384652895</v>
      </c>
      <c r="D632" s="25" t="n">
        <f aca="false">IF(C632&lt;(($C$8-$B$8)/($D$8-$B$8)),$B$8+SQRT(C632*($D$8-$B$8)*($C$8-$B$8)),$D$8-SQRT((1-C632)*($D$8-$B$8)*($D$8-$C$8)))</f>
        <v>7.71897285989567</v>
      </c>
      <c r="E632" s="26" t="n">
        <f aca="true">MAX(0,$E$8+$F$8*_xlfn.NORM.S.INV(RAND()))</f>
        <v>0</v>
      </c>
      <c r="F632" s="27" t="n">
        <f aca="false">1/(1+EXP(-03_Inputs_Assumptions!$B$14*(E632-03_Inputs_Assumptions!$B$5)))</f>
        <v>0.0052201256935584</v>
      </c>
      <c r="G632" s="28" t="n">
        <f aca="false">D632*04_Baseline_PnL!$B$15*F632*04_Baseline_PnL!$B$14</f>
        <v>11522.0553067846</v>
      </c>
      <c r="H632" s="28" t="n">
        <f aca="false">D632*03_Inputs_Assumptions!$B$13*01_Macro_Data!$B$97*($G$8-1)+D632*04_Baseline_PnL!$B$15*04_Baseline_PnL!$B$13*03_Inputs_Assumptions!$B$15*($H$8-1)</f>
        <v>139283.895559427</v>
      </c>
      <c r="I632" s="16" t="n">
        <f aca="false">G632+H632</f>
        <v>150805.950866212</v>
      </c>
    </row>
    <row r="633" customFormat="false" ht="15" hidden="false" customHeight="true" outlineLevel="0" collapsed="false">
      <c r="A633" s="4" t="s">
        <v>304</v>
      </c>
      <c r="B633" s="4" t="n">
        <v>23</v>
      </c>
      <c r="C633" s="24" t="n">
        <f aca="true">RAND()</f>
        <v>0.256824252298929</v>
      </c>
      <c r="D633" s="25" t="n">
        <f aca="false">IF(C633&lt;(($C$8-$B$8)/($D$8-$B$8)),$B$8+SQRT(C633*($D$8-$B$8)*($C$8-$B$8)),$D$8-SQRT((1-C633)*($D$8-$B$8)*($D$8-$C$8)))</f>
        <v>8.28935412458297</v>
      </c>
      <c r="E633" s="26" t="n">
        <f aca="true">MAX(0,$E$8+$F$8*_xlfn.NORM.S.INV(RAND()))</f>
        <v>0</v>
      </c>
      <c r="F633" s="27" t="n">
        <f aca="false">1/(1+EXP(-03_Inputs_Assumptions!$B$14*(E633-03_Inputs_Assumptions!$B$5)))</f>
        <v>0.0052201256935584</v>
      </c>
      <c r="G633" s="28" t="n">
        <f aca="false">D633*04_Baseline_PnL!$B$15*F633*04_Baseline_PnL!$B$14</f>
        <v>12373.4593208894</v>
      </c>
      <c r="H633" s="28" t="n">
        <f aca="false">D633*03_Inputs_Assumptions!$B$13*01_Macro_Data!$B$97*($G$8-1)+D633*04_Baseline_PnL!$B$15*04_Baseline_PnL!$B$13*03_Inputs_Assumptions!$B$15*($H$8-1)</f>
        <v>149576.058252798</v>
      </c>
      <c r="I633" s="16" t="n">
        <f aca="false">G633+H633</f>
        <v>161949.517573688</v>
      </c>
    </row>
    <row r="634" customFormat="false" ht="15" hidden="false" customHeight="true" outlineLevel="0" collapsed="false">
      <c r="A634" s="4" t="s">
        <v>304</v>
      </c>
      <c r="B634" s="4" t="n">
        <v>24</v>
      </c>
      <c r="C634" s="24" t="n">
        <f aca="true">RAND()</f>
        <v>0.0768149557116059</v>
      </c>
      <c r="D634" s="25" t="n">
        <f aca="false">IF(C634&lt;(($C$8-$B$8)/($D$8-$B$8)),$B$8+SQRT(C634*($D$8-$B$8)*($C$8-$B$8)),$D$8-SQRT((1-C634)*($D$8-$B$8)*($D$8-$C$8)))</f>
        <v>7.23947533829121</v>
      </c>
      <c r="E634" s="26" t="n">
        <f aca="true">MAX(0,$E$8+$F$8*_xlfn.NORM.S.INV(RAND()))</f>
        <v>0.173742912240427</v>
      </c>
      <c r="F634" s="27" t="n">
        <f aca="false">1/(1+EXP(-03_Inputs_Assumptions!$B$14*(E634-03_Inputs_Assumptions!$B$5)))</f>
        <v>0.00545059893731279</v>
      </c>
      <c r="G634" s="28" t="n">
        <f aca="false">D634*04_Baseline_PnL!$B$15*F634*04_Baseline_PnL!$B$14</f>
        <v>11283.4212309425</v>
      </c>
      <c r="H634" s="28" t="n">
        <f aca="false">D634*03_Inputs_Assumptions!$B$13*01_Macro_Data!$B$97*($G$8-1)+D634*04_Baseline_PnL!$B$15*04_Baseline_PnL!$B$13*03_Inputs_Assumptions!$B$15*($H$8-1)</f>
        <v>130631.671496411</v>
      </c>
      <c r="I634" s="16" t="n">
        <f aca="false">G634+H634</f>
        <v>141915.092727354</v>
      </c>
    </row>
    <row r="635" customFormat="false" ht="15" hidden="false" customHeight="true" outlineLevel="0" collapsed="false">
      <c r="A635" s="4" t="s">
        <v>304</v>
      </c>
      <c r="B635" s="4" t="n">
        <v>25</v>
      </c>
      <c r="C635" s="24" t="n">
        <f aca="true">RAND()</f>
        <v>0.042480773040388</v>
      </c>
      <c r="D635" s="25" t="n">
        <f aca="false">IF(C635&lt;(($C$8-$B$8)/($D$8-$B$8)),$B$8+SQRT(C635*($D$8-$B$8)*($C$8-$B$8)),$D$8-SQRT((1-C635)*($D$8-$B$8)*($D$8-$C$8)))</f>
        <v>6.92174587647993</v>
      </c>
      <c r="E635" s="26" t="n">
        <f aca="true">MAX(0,$E$8+$F$8*_xlfn.NORM.S.INV(RAND()))</f>
        <v>0.313273268470834</v>
      </c>
      <c r="F635" s="27" t="n">
        <f aca="false">1/(1+EXP(-03_Inputs_Assumptions!$B$14*(E635-03_Inputs_Assumptions!$B$5)))</f>
        <v>0.00564299312766254</v>
      </c>
      <c r="G635" s="28" t="n">
        <f aca="false">D635*04_Baseline_PnL!$B$15*F635*04_Baseline_PnL!$B$14</f>
        <v>11169.009318257</v>
      </c>
      <c r="H635" s="28" t="n">
        <f aca="false">D635*03_Inputs_Assumptions!$B$13*01_Macro_Data!$B$97*($G$8-1)+D635*04_Baseline_PnL!$B$15*04_Baseline_PnL!$B$13*03_Inputs_Assumptions!$B$15*($H$8-1)</f>
        <v>124898.447921419</v>
      </c>
      <c r="I635" s="16" t="n">
        <f aca="false">G635+H635</f>
        <v>136067.457239676</v>
      </c>
    </row>
    <row r="636" customFormat="false" ht="15" hidden="false" customHeight="true" outlineLevel="0" collapsed="false">
      <c r="A636" s="4" t="s">
        <v>304</v>
      </c>
      <c r="B636" s="4" t="n">
        <v>26</v>
      </c>
      <c r="C636" s="24" t="n">
        <f aca="true">RAND()</f>
        <v>0.128182332360963</v>
      </c>
      <c r="D636" s="25" t="n">
        <f aca="false">IF(C636&lt;(($C$8-$B$8)/($D$8-$B$8)),$B$8+SQRT(C636*($D$8-$B$8)*($C$8-$B$8)),$D$8-SQRT((1-C636)*($D$8-$B$8)*($D$8-$C$8)))</f>
        <v>7.60113917172096</v>
      </c>
      <c r="E636" s="26" t="n">
        <f aca="true">MAX(0,$E$8+$F$8*_xlfn.NORM.S.INV(RAND()))</f>
        <v>0.234664009173509</v>
      </c>
      <c r="F636" s="27" t="n">
        <f aca="false">1/(1+EXP(-03_Inputs_Assumptions!$B$14*(E636-03_Inputs_Assumptions!$B$5)))</f>
        <v>0.00553378554093914</v>
      </c>
      <c r="G636" s="28" t="n">
        <f aca="false">D636*04_Baseline_PnL!$B$15*F636*04_Baseline_PnL!$B$14</f>
        <v>12027.9188617093</v>
      </c>
      <c r="H636" s="28" t="n">
        <f aca="false">D636*03_Inputs_Assumptions!$B$13*01_Macro_Data!$B$97*($G$8-1)+D636*04_Baseline_PnL!$B$15*04_Baseline_PnL!$B$13*03_Inputs_Assumptions!$B$15*($H$8-1)</f>
        <v>137157.662521042</v>
      </c>
      <c r="I636" s="16" t="n">
        <f aca="false">G636+H636</f>
        <v>149185.581382752</v>
      </c>
    </row>
    <row r="637" customFormat="false" ht="15" hidden="false" customHeight="true" outlineLevel="0" collapsed="false">
      <c r="A637" s="4" t="s">
        <v>304</v>
      </c>
      <c r="B637" s="4" t="n">
        <v>27</v>
      </c>
      <c r="C637" s="24" t="n">
        <f aca="true">RAND()</f>
        <v>0.303364047726301</v>
      </c>
      <c r="D637" s="25" t="n">
        <f aca="false">IF(C637&lt;(($C$8-$B$8)/($D$8-$B$8)),$B$8+SQRT(C637*($D$8-$B$8)*($C$8-$B$8)),$D$8-SQRT((1-C637)*($D$8-$B$8)*($D$8-$C$8)))</f>
        <v>8.53468847388832</v>
      </c>
      <c r="E637" s="26" t="n">
        <f aca="true">MAX(0,$E$8+$F$8*_xlfn.NORM.S.INV(RAND()))</f>
        <v>0.446460559924346</v>
      </c>
      <c r="F637" s="27" t="n">
        <f aca="false">1/(1+EXP(-03_Inputs_Assumptions!$B$14*(E637-03_Inputs_Assumptions!$B$5)))</f>
        <v>0.00583293558998161</v>
      </c>
      <c r="G637" s="28" t="n">
        <f aca="false">D637*04_Baseline_PnL!$B$15*F637*04_Baseline_PnL!$B$14</f>
        <v>14235.2249859186</v>
      </c>
      <c r="H637" s="28" t="n">
        <f aca="false">D637*03_Inputs_Assumptions!$B$13*01_Macro_Data!$B$97*($G$8-1)+D637*04_Baseline_PnL!$B$15*04_Baseline_PnL!$B$13*03_Inputs_Assumptions!$B$15*($H$8-1)</f>
        <v>154002.958632682</v>
      </c>
      <c r="I637" s="16" t="n">
        <f aca="false">G637+H637</f>
        <v>168238.183618601</v>
      </c>
    </row>
    <row r="638" customFormat="false" ht="15" hidden="false" customHeight="true" outlineLevel="0" collapsed="false">
      <c r="A638" s="4" t="s">
        <v>304</v>
      </c>
      <c r="B638" s="4" t="n">
        <v>28</v>
      </c>
      <c r="C638" s="24" t="n">
        <f aca="true">RAND()</f>
        <v>0.788039747082439</v>
      </c>
      <c r="D638" s="25" t="n">
        <f aca="false">IF(C638&lt;(($C$8-$B$8)/($D$8-$B$8)),$B$8+SQRT(C638*($D$8-$B$8)*($C$8-$B$8)),$D$8-SQRT((1-C638)*($D$8-$B$8)*($D$8-$C$8)))</f>
        <v>11.8821340194945</v>
      </c>
      <c r="E638" s="26" t="n">
        <f aca="true">MAX(0,$E$8+$F$8*_xlfn.NORM.S.INV(RAND()))</f>
        <v>0</v>
      </c>
      <c r="F638" s="27" t="n">
        <f aca="false">1/(1+EXP(-03_Inputs_Assumptions!$B$14*(E638-03_Inputs_Assumptions!$B$5)))</f>
        <v>0.0052201256935584</v>
      </c>
      <c r="G638" s="28" t="n">
        <f aca="false">D638*04_Baseline_PnL!$B$15*F638*04_Baseline_PnL!$B$14</f>
        <v>17736.3760464229</v>
      </c>
      <c r="H638" s="28" t="n">
        <f aca="false">D638*03_Inputs_Assumptions!$B$13*01_Macro_Data!$B$97*($G$8-1)+D638*04_Baseline_PnL!$B$15*04_Baseline_PnL!$B$13*03_Inputs_Assumptions!$B$15*($H$8-1)</f>
        <v>214405.458321142</v>
      </c>
      <c r="I638" s="16" t="n">
        <f aca="false">G638+H638</f>
        <v>232141.834367565</v>
      </c>
    </row>
    <row r="639" customFormat="false" ht="15" hidden="false" customHeight="true" outlineLevel="0" collapsed="false">
      <c r="A639" s="4" t="s">
        <v>304</v>
      </c>
      <c r="B639" s="4" t="n">
        <v>29</v>
      </c>
      <c r="C639" s="24" t="n">
        <f aca="true">RAND()</f>
        <v>0.314032087019467</v>
      </c>
      <c r="D639" s="25" t="n">
        <f aca="false">IF(C639&lt;(($C$8-$B$8)/($D$8-$B$8)),$B$8+SQRT(C639*($D$8-$B$8)*($C$8-$B$8)),$D$8-SQRT((1-C639)*($D$8-$B$8)*($D$8-$C$8)))</f>
        <v>8.59206958466518</v>
      </c>
      <c r="E639" s="26" t="n">
        <f aca="true">MAX(0,$E$8+$F$8*_xlfn.NORM.S.INV(RAND()))</f>
        <v>0.51705081601593</v>
      </c>
      <c r="F639" s="27" t="n">
        <f aca="false">1/(1+EXP(-03_Inputs_Assumptions!$B$14*(E639-03_Inputs_Assumptions!$B$5)))</f>
        <v>0.00593616987974834</v>
      </c>
      <c r="G639" s="28" t="n">
        <f aca="false">D639*04_Baseline_PnL!$B$15*F639*04_Baseline_PnL!$B$14</f>
        <v>14584.5686086542</v>
      </c>
      <c r="H639" s="28" t="n">
        <f aca="false">D639*03_Inputs_Assumptions!$B$13*01_Macro_Data!$B$97*($G$8-1)+D639*04_Baseline_PnL!$B$15*04_Baseline_PnL!$B$13*03_Inputs_Assumptions!$B$15*($H$8-1)</f>
        <v>155038.363833036</v>
      </c>
      <c r="I639" s="16" t="n">
        <f aca="false">G639+H639</f>
        <v>169622.932441691</v>
      </c>
    </row>
    <row r="640" customFormat="false" ht="15" hidden="false" customHeight="true" outlineLevel="0" collapsed="false">
      <c r="A640" s="4" t="s">
        <v>304</v>
      </c>
      <c r="B640" s="4" t="n">
        <v>30</v>
      </c>
      <c r="C640" s="24" t="n">
        <f aca="true">RAND()</f>
        <v>0.463364813616722</v>
      </c>
      <c r="D640" s="25" t="n">
        <f aca="false">IF(C640&lt;(($C$8-$B$8)/($D$8-$B$8)),$B$8+SQRT(C640*($D$8-$B$8)*($C$8-$B$8)),$D$8-SQRT((1-C640)*($D$8-$B$8)*($D$8-$C$8)))</f>
        <v>9.44783891294924</v>
      </c>
      <c r="E640" s="26" t="n">
        <f aca="true">MAX(0,$E$8+$F$8*_xlfn.NORM.S.INV(RAND()))</f>
        <v>0.130206578509774</v>
      </c>
      <c r="F640" s="27" t="n">
        <f aca="false">1/(1+EXP(-03_Inputs_Assumptions!$B$14*(E640-03_Inputs_Assumptions!$B$5)))</f>
        <v>0.00539191398309948</v>
      </c>
      <c r="G640" s="28" t="n">
        <f aca="false">D640*04_Baseline_PnL!$B$15*F640*04_Baseline_PnL!$B$14</f>
        <v>14566.8254569465</v>
      </c>
      <c r="H640" s="28" t="n">
        <f aca="false">D640*03_Inputs_Assumptions!$B$13*01_Macro_Data!$B$97*($G$8-1)+D640*04_Baseline_PnL!$B$15*04_Baseline_PnL!$B$13*03_Inputs_Assumptions!$B$15*($H$8-1)</f>
        <v>170480.170392943</v>
      </c>
      <c r="I640" s="16" t="n">
        <f aca="false">G640+H640</f>
        <v>185046.995849889</v>
      </c>
    </row>
    <row r="641" customFormat="false" ht="15" hidden="false" customHeight="true" outlineLevel="0" collapsed="false">
      <c r="A641" s="4" t="s">
        <v>304</v>
      </c>
      <c r="B641" s="4" t="n">
        <v>31</v>
      </c>
      <c r="C641" s="24" t="n">
        <f aca="true">RAND()</f>
        <v>0.165497664635188</v>
      </c>
      <c r="D641" s="25" t="n">
        <f aca="false">IF(C641&lt;(($C$8-$B$8)/($D$8-$B$8)),$B$8+SQRT(C641*($D$8-$B$8)*($C$8-$B$8)),$D$8-SQRT((1-C641)*($D$8-$B$8)*($D$8-$C$8)))</f>
        <v>7.81932770349483</v>
      </c>
      <c r="E641" s="26" t="n">
        <f aca="true">MAX(0,$E$8+$F$8*_xlfn.NORM.S.INV(RAND()))</f>
        <v>0</v>
      </c>
      <c r="F641" s="27" t="n">
        <f aca="false">1/(1+EXP(-03_Inputs_Assumptions!$B$14*(E641-03_Inputs_Assumptions!$B$5)))</f>
        <v>0.0052201256935584</v>
      </c>
      <c r="G641" s="28" t="n">
        <f aca="false">D641*04_Baseline_PnL!$B$15*F641*04_Baseline_PnL!$B$14</f>
        <v>11671.8542605108</v>
      </c>
      <c r="H641" s="28" t="n">
        <f aca="false">D641*03_Inputs_Assumptions!$B$13*01_Macro_Data!$B$97*($G$8-1)+D641*04_Baseline_PnL!$B$15*04_Baseline_PnL!$B$13*03_Inputs_Assumptions!$B$15*($H$8-1)</f>
        <v>141094.734100831</v>
      </c>
      <c r="I641" s="16" t="n">
        <f aca="false">G641+H641</f>
        <v>152766.588361342</v>
      </c>
    </row>
    <row r="642" customFormat="false" ht="15" hidden="false" customHeight="true" outlineLevel="0" collapsed="false">
      <c r="A642" s="4" t="s">
        <v>304</v>
      </c>
      <c r="B642" s="4" t="n">
        <v>32</v>
      </c>
      <c r="C642" s="24" t="n">
        <f aca="true">RAND()</f>
        <v>0.432076790620552</v>
      </c>
      <c r="D642" s="25" t="n">
        <f aca="false">IF(C642&lt;(($C$8-$B$8)/($D$8-$B$8)),$B$8+SQRT(C642*($D$8-$B$8)*($C$8-$B$8)),$D$8-SQRT((1-C642)*($D$8-$B$8)*($D$8-$C$8)))</f>
        <v>9.25953586536092</v>
      </c>
      <c r="E642" s="26" t="n">
        <f aca="true">MAX(0,$E$8+$F$8*_xlfn.NORM.S.INV(RAND()))</f>
        <v>0</v>
      </c>
      <c r="F642" s="27" t="n">
        <f aca="false">1/(1+EXP(-03_Inputs_Assumptions!$B$14*(E642-03_Inputs_Assumptions!$B$5)))</f>
        <v>0.0052201256935584</v>
      </c>
      <c r="G642" s="28" t="n">
        <f aca="false">D642*04_Baseline_PnL!$B$15*F642*04_Baseline_PnL!$B$14</f>
        <v>13821.6426320336</v>
      </c>
      <c r="H642" s="28" t="n">
        <f aca="false">D642*03_Inputs_Assumptions!$B$13*01_Macro_Data!$B$97*($G$8-1)+D642*04_Baseline_PnL!$B$15*04_Baseline_PnL!$B$13*03_Inputs_Assumptions!$B$15*($H$8-1)</f>
        <v>167082.363134146</v>
      </c>
      <c r="I642" s="16" t="n">
        <f aca="false">G642+H642</f>
        <v>180904.005766179</v>
      </c>
    </row>
    <row r="643" customFormat="false" ht="15" hidden="false" customHeight="true" outlineLevel="0" collapsed="false">
      <c r="A643" s="4" t="s">
        <v>304</v>
      </c>
      <c r="B643" s="4" t="n">
        <v>33</v>
      </c>
      <c r="C643" s="24" t="n">
        <f aca="true">RAND()</f>
        <v>0.330204913092353</v>
      </c>
      <c r="D643" s="25" t="n">
        <f aca="false">IF(C643&lt;(($C$8-$B$8)/($D$8-$B$8)),$B$8+SQRT(C643*($D$8-$B$8)*($C$8-$B$8)),$D$8-SQRT((1-C643)*($D$8-$B$8)*($D$8-$C$8)))</f>
        <v>8.67991755834596</v>
      </c>
      <c r="E643" s="26" t="n">
        <f aca="true">MAX(0,$E$8+$F$8*_xlfn.NORM.S.INV(RAND()))</f>
        <v>0</v>
      </c>
      <c r="F643" s="27" t="n">
        <f aca="false">1/(1+EXP(-03_Inputs_Assumptions!$B$14*(E643-03_Inputs_Assumptions!$B$5)))</f>
        <v>0.0052201256935584</v>
      </c>
      <c r="G643" s="28" t="n">
        <f aca="false">D643*04_Baseline_PnL!$B$15*F643*04_Baseline_PnL!$B$14</f>
        <v>12956.4505512389</v>
      </c>
      <c r="H643" s="28" t="n">
        <f aca="false">D643*03_Inputs_Assumptions!$B$13*01_Macro_Data!$B$97*($G$8-1)+D643*04_Baseline_PnL!$B$15*04_Baseline_PnL!$B$13*03_Inputs_Assumptions!$B$15*($H$8-1)</f>
        <v>156623.523959047</v>
      </c>
      <c r="I643" s="16" t="n">
        <f aca="false">G643+H643</f>
        <v>169579.974510285</v>
      </c>
    </row>
    <row r="644" customFormat="false" ht="15" hidden="false" customHeight="true" outlineLevel="0" collapsed="false">
      <c r="A644" s="4" t="s">
        <v>304</v>
      </c>
      <c r="B644" s="4" t="n">
        <v>34</v>
      </c>
      <c r="C644" s="24" t="n">
        <f aca="true">RAND()</f>
        <v>0.622466692984517</v>
      </c>
      <c r="D644" s="25" t="n">
        <f aca="false">IF(C644&lt;(($C$8-$B$8)/($D$8-$B$8)),$B$8+SQRT(C644*($D$8-$B$8)*($C$8-$B$8)),$D$8-SQRT((1-C644)*($D$8-$B$8)*($D$8-$C$8)))</f>
        <v>10.5043049064528</v>
      </c>
      <c r="E644" s="26" t="n">
        <f aca="true">MAX(0,$E$8+$F$8*_xlfn.NORM.S.INV(RAND()))</f>
        <v>0</v>
      </c>
      <c r="F644" s="27" t="n">
        <f aca="false">1/(1+EXP(-03_Inputs_Assumptions!$B$14*(E644-03_Inputs_Assumptions!$B$5)))</f>
        <v>0.0052201256935584</v>
      </c>
      <c r="G644" s="28" t="n">
        <f aca="false">D644*04_Baseline_PnL!$B$15*F644*04_Baseline_PnL!$B$14</f>
        <v>15679.7004327224</v>
      </c>
      <c r="H644" s="28" t="n">
        <f aca="false">D644*03_Inputs_Assumptions!$B$13*01_Macro_Data!$B$97*($G$8-1)+D644*04_Baseline_PnL!$B$15*04_Baseline_PnL!$B$13*03_Inputs_Assumptions!$B$15*($H$8-1)</f>
        <v>189543.419062433</v>
      </c>
      <c r="I644" s="16" t="n">
        <f aca="false">G644+H644</f>
        <v>205223.119495156</v>
      </c>
    </row>
    <row r="645" customFormat="false" ht="15" hidden="false" customHeight="true" outlineLevel="0" collapsed="false">
      <c r="A645" s="4" t="s">
        <v>304</v>
      </c>
      <c r="B645" s="4" t="n">
        <v>35</v>
      </c>
      <c r="C645" s="24" t="n">
        <f aca="true">RAND()</f>
        <v>0.268533976909503</v>
      </c>
      <c r="D645" s="25" t="n">
        <f aca="false">IF(C645&lt;(($C$8-$B$8)/($D$8-$B$8)),$B$8+SQRT(C645*($D$8-$B$8)*($C$8-$B$8)),$D$8-SQRT((1-C645)*($D$8-$B$8)*($D$8-$C$8)))</f>
        <v>8.35034106333885</v>
      </c>
      <c r="E645" s="26" t="n">
        <f aca="true">MAX(0,$E$8+$F$8*_xlfn.NORM.S.INV(RAND()))</f>
        <v>0.378090352092176</v>
      </c>
      <c r="F645" s="27" t="n">
        <f aca="false">1/(1+EXP(-03_Inputs_Assumptions!$B$14*(E645-03_Inputs_Assumptions!$B$5)))</f>
        <v>0.0057346499476368</v>
      </c>
      <c r="G645" s="28" t="n">
        <f aca="false">D645*04_Baseline_PnL!$B$15*F645*04_Baseline_PnL!$B$14</f>
        <v>13693.0630704753</v>
      </c>
      <c r="H645" s="28" t="n">
        <f aca="false">D645*03_Inputs_Assumptions!$B$13*01_Macro_Data!$B$97*($G$8-1)+D645*04_Baseline_PnL!$B$15*04_Baseline_PnL!$B$13*03_Inputs_Assumptions!$B$15*($H$8-1)</f>
        <v>150676.528297498</v>
      </c>
      <c r="I645" s="16" t="n">
        <f aca="false">G645+H645</f>
        <v>164369.591367973</v>
      </c>
    </row>
    <row r="646" customFormat="false" ht="15" hidden="false" customHeight="true" outlineLevel="0" collapsed="false">
      <c r="A646" s="4" t="s">
        <v>304</v>
      </c>
      <c r="B646" s="4" t="n">
        <v>36</v>
      </c>
      <c r="C646" s="24" t="n">
        <f aca="true">RAND()</f>
        <v>0.999679238584961</v>
      </c>
      <c r="D646" s="25" t="n">
        <f aca="false">IF(C646&lt;(($C$8-$B$8)/($D$8-$B$8)),$B$8+SQRT(C646*($D$8-$B$8)*($C$8-$B$8)),$D$8-SQRT((1-C646)*($D$8-$B$8)*($D$8-$C$8)))</f>
        <v>15.8398097593388</v>
      </c>
      <c r="E646" s="26" t="n">
        <f aca="true">MAX(0,$E$8+$F$8*_xlfn.NORM.S.INV(RAND()))</f>
        <v>0.0326305501548848</v>
      </c>
      <c r="F646" s="27" t="n">
        <f aca="false">1/(1+EXP(-03_Inputs_Assumptions!$B$14*(E646-03_Inputs_Assumptions!$B$5)))</f>
        <v>0.0052626587310563</v>
      </c>
      <c r="G646" s="28" t="n">
        <f aca="false">D646*04_Baseline_PnL!$B$15*F646*04_Baseline_PnL!$B$14</f>
        <v>23836.6187699462</v>
      </c>
      <c r="H646" s="28" t="n">
        <f aca="false">D646*03_Inputs_Assumptions!$B$13*01_Macro_Data!$B$97*($G$8-1)+D646*04_Baseline_PnL!$B$15*04_Baseline_PnL!$B$13*03_Inputs_Assumptions!$B$15*($H$8-1)</f>
        <v>285819.168980827</v>
      </c>
      <c r="I646" s="16" t="n">
        <f aca="false">G646+H646</f>
        <v>309655.787750774</v>
      </c>
    </row>
    <row r="647" customFormat="false" ht="15" hidden="false" customHeight="true" outlineLevel="0" collapsed="false">
      <c r="A647" s="4" t="s">
        <v>304</v>
      </c>
      <c r="B647" s="4" t="n">
        <v>37</v>
      </c>
      <c r="C647" s="24" t="n">
        <f aca="true">RAND()</f>
        <v>0.736144111578113</v>
      </c>
      <c r="D647" s="25" t="n">
        <f aca="false">IF(C647&lt;(($C$8-$B$8)/($D$8-$B$8)),$B$8+SQRT(C647*($D$8-$B$8)*($C$8-$B$8)),$D$8-SQRT((1-C647)*($D$8-$B$8)*($D$8-$C$8)))</f>
        <v>11.4056043842796</v>
      </c>
      <c r="E647" s="26" t="n">
        <f aca="true">MAX(0,$E$8+$F$8*_xlfn.NORM.S.INV(RAND()))</f>
        <v>0.214189718407549</v>
      </c>
      <c r="F647" s="27" t="n">
        <f aca="false">1/(1+EXP(-03_Inputs_Assumptions!$B$14*(E647-03_Inputs_Assumptions!$B$5)))</f>
        <v>0.00550568837650622</v>
      </c>
      <c r="G647" s="28" t="n">
        <f aca="false">D647*04_Baseline_PnL!$B$15*F647*04_Baseline_PnL!$B$14</f>
        <v>17956.4057922555</v>
      </c>
      <c r="H647" s="28" t="n">
        <f aca="false">D647*03_Inputs_Assumptions!$B$13*01_Macro_Data!$B$97*($G$8-1)+D647*04_Baseline_PnL!$B$15*04_Baseline_PnL!$B$13*03_Inputs_Assumptions!$B$15*($H$8-1)</f>
        <v>205806.787857215</v>
      </c>
      <c r="I647" s="16" t="n">
        <f aca="false">G647+H647</f>
        <v>223763.19364947</v>
      </c>
    </row>
    <row r="648" customFormat="false" ht="15" hidden="false" customHeight="true" outlineLevel="0" collapsed="false">
      <c r="A648" s="4" t="s">
        <v>304</v>
      </c>
      <c r="B648" s="4" t="n">
        <v>38</v>
      </c>
      <c r="C648" s="24" t="n">
        <f aca="true">RAND()</f>
        <v>0.0744764823321892</v>
      </c>
      <c r="D648" s="25" t="n">
        <f aca="false">IF(C648&lt;(($C$8-$B$8)/($D$8-$B$8)),$B$8+SQRT(C648*($D$8-$B$8)*($C$8-$B$8)),$D$8-SQRT((1-C648)*($D$8-$B$8)*($D$8-$C$8)))</f>
        <v>7.22046288212456</v>
      </c>
      <c r="E648" s="26" t="n">
        <f aca="true">MAX(0,$E$8+$F$8*_xlfn.NORM.S.INV(RAND()))</f>
        <v>0</v>
      </c>
      <c r="F648" s="27" t="n">
        <f aca="false">1/(1+EXP(-03_Inputs_Assumptions!$B$14*(E648-03_Inputs_Assumptions!$B$5)))</f>
        <v>0.0052201256935584</v>
      </c>
      <c r="G648" s="28" t="n">
        <f aca="false">D648*04_Baseline_PnL!$B$15*F648*04_Baseline_PnL!$B$14</f>
        <v>10777.9330460749</v>
      </c>
      <c r="H648" s="28" t="n">
        <f aca="false">D648*03_Inputs_Assumptions!$B$13*01_Macro_Data!$B$97*($G$8-1)+D648*04_Baseline_PnL!$B$15*04_Baseline_PnL!$B$13*03_Inputs_Assumptions!$B$15*($H$8-1)</f>
        <v>130288.603965651</v>
      </c>
      <c r="I648" s="16" t="n">
        <f aca="false">G648+H648</f>
        <v>141066.537011726</v>
      </c>
    </row>
    <row r="649" customFormat="false" ht="15" hidden="false" customHeight="true" outlineLevel="0" collapsed="false">
      <c r="A649" s="4" t="s">
        <v>304</v>
      </c>
      <c r="B649" s="4" t="n">
        <v>39</v>
      </c>
      <c r="C649" s="24" t="n">
        <f aca="true">RAND()</f>
        <v>0.257741010105065</v>
      </c>
      <c r="D649" s="25" t="n">
        <f aca="false">IF(C649&lt;(($C$8-$B$8)/($D$8-$B$8)),$B$8+SQRT(C649*($D$8-$B$8)*($C$8-$B$8)),$D$8-SQRT((1-C649)*($D$8-$B$8)*($D$8-$C$8)))</f>
        <v>8.29411139506969</v>
      </c>
      <c r="E649" s="26" t="n">
        <f aca="true">MAX(0,$E$8+$F$8*_xlfn.NORM.S.INV(RAND()))</f>
        <v>0</v>
      </c>
      <c r="F649" s="27" t="n">
        <f aca="false">1/(1+EXP(-03_Inputs_Assumptions!$B$14*(E649-03_Inputs_Assumptions!$B$5)))</f>
        <v>0.0052201256935584</v>
      </c>
      <c r="G649" s="28" t="n">
        <f aca="false">D649*04_Baseline_PnL!$B$15*F649*04_Baseline_PnL!$B$14</f>
        <v>12380.5604643513</v>
      </c>
      <c r="H649" s="28" t="n">
        <f aca="false">D649*03_Inputs_Assumptions!$B$13*01_Macro_Data!$B$97*($G$8-1)+D649*04_Baseline_PnL!$B$15*04_Baseline_PnL!$B$13*03_Inputs_Assumptions!$B$15*($H$8-1)</f>
        <v>149661.900135863</v>
      </c>
      <c r="I649" s="16" t="n">
        <f aca="false">G649+H649</f>
        <v>162042.460600214</v>
      </c>
    </row>
    <row r="650" customFormat="false" ht="15" hidden="false" customHeight="true" outlineLevel="0" collapsed="false">
      <c r="A650" s="4" t="s">
        <v>304</v>
      </c>
      <c r="B650" s="4" t="n">
        <v>40</v>
      </c>
      <c r="C650" s="24" t="n">
        <f aca="true">RAND()</f>
        <v>0.329979346087431</v>
      </c>
      <c r="D650" s="25" t="n">
        <f aca="false">IF(C650&lt;(($C$8-$B$8)/($D$8-$B$8)),$B$8+SQRT(C650*($D$8-$B$8)*($C$8-$B$8)),$D$8-SQRT((1-C650)*($D$8-$B$8)*($D$8-$C$8)))</f>
        <v>8.67868506940143</v>
      </c>
      <c r="E650" s="26" t="n">
        <f aca="true">MAX(0,$E$8+$F$8*_xlfn.NORM.S.INV(RAND()))</f>
        <v>0.63934894666771</v>
      </c>
      <c r="F650" s="27" t="n">
        <f aca="false">1/(1+EXP(-03_Inputs_Assumptions!$B$14*(E650-03_Inputs_Assumptions!$B$5)))</f>
        <v>0.00611934077958944</v>
      </c>
      <c r="G650" s="28" t="n">
        <f aca="false">D650*04_Baseline_PnL!$B$15*F650*04_Baseline_PnL!$B$14</f>
        <v>15186.1627385562</v>
      </c>
      <c r="H650" s="28" t="n">
        <f aca="false">D650*03_Inputs_Assumptions!$B$13*01_Macro_Data!$B$97*($G$8-1)+D650*04_Baseline_PnL!$B$15*04_Baseline_PnL!$B$13*03_Inputs_Assumptions!$B$15*($H$8-1)</f>
        <v>156601.284489554</v>
      </c>
      <c r="I650" s="16" t="n">
        <f aca="false">G650+H650</f>
        <v>171787.447228111</v>
      </c>
    </row>
    <row r="651" customFormat="false" ht="15" hidden="false" customHeight="true" outlineLevel="0" collapsed="false">
      <c r="A651" s="4" t="s">
        <v>304</v>
      </c>
      <c r="B651" s="4" t="n">
        <v>41</v>
      </c>
      <c r="C651" s="24" t="n">
        <f aca="true">RAND()</f>
        <v>0.15986733989719</v>
      </c>
      <c r="D651" s="25" t="n">
        <f aca="false">IF(C651&lt;(($C$8-$B$8)/($D$8-$B$8)),$B$8+SQRT(C651*($D$8-$B$8)*($C$8-$B$8)),$D$8-SQRT((1-C651)*($D$8-$B$8)*($D$8-$C$8)))</f>
        <v>7.78811263569827</v>
      </c>
      <c r="E651" s="26" t="n">
        <f aca="true">MAX(0,$E$8+$F$8*_xlfn.NORM.S.INV(RAND()))</f>
        <v>0</v>
      </c>
      <c r="F651" s="27" t="n">
        <f aca="false">1/(1+EXP(-03_Inputs_Assumptions!$B$14*(E651-03_Inputs_Assumptions!$B$5)))</f>
        <v>0.0052201256935584</v>
      </c>
      <c r="G651" s="28" t="n">
        <f aca="false">D651*04_Baseline_PnL!$B$15*F651*04_Baseline_PnL!$B$14</f>
        <v>11625.2597531735</v>
      </c>
      <c r="H651" s="28" t="n">
        <f aca="false">D651*03_Inputs_Assumptions!$B$13*01_Macro_Data!$B$97*($G$8-1)+D651*04_Baseline_PnL!$B$15*04_Baseline_PnL!$B$13*03_Inputs_Assumptions!$B$15*($H$8-1)</f>
        <v>140531.478299603</v>
      </c>
      <c r="I651" s="16" t="n">
        <f aca="false">G651+H651</f>
        <v>152156.738052777</v>
      </c>
    </row>
    <row r="652" customFormat="false" ht="15" hidden="false" customHeight="true" outlineLevel="0" collapsed="false">
      <c r="A652" s="4" t="s">
        <v>304</v>
      </c>
      <c r="B652" s="4" t="n">
        <v>42</v>
      </c>
      <c r="C652" s="24" t="n">
        <f aca="true">RAND()</f>
        <v>0.775159179635078</v>
      </c>
      <c r="D652" s="25" t="n">
        <f aca="false">IF(C652&lt;(($C$8-$B$8)/($D$8-$B$8)),$B$8+SQRT(C652*($D$8-$B$8)*($C$8-$B$8)),$D$8-SQRT((1-C652)*($D$8-$B$8)*($D$8-$C$8)))</f>
        <v>11.7588603384003</v>
      </c>
      <c r="E652" s="26" t="n">
        <f aca="true">MAX(0,$E$8+$F$8*_xlfn.NORM.S.INV(RAND()))</f>
        <v>0</v>
      </c>
      <c r="F652" s="27" t="n">
        <f aca="false">1/(1+EXP(-03_Inputs_Assumptions!$B$14*(E652-03_Inputs_Assumptions!$B$5)))</f>
        <v>0.0052201256935584</v>
      </c>
      <c r="G652" s="28" t="n">
        <f aca="false">D652*04_Baseline_PnL!$B$15*F652*04_Baseline_PnL!$B$14</f>
        <v>17552.3663087003</v>
      </c>
      <c r="H652" s="28" t="n">
        <f aca="false">D652*03_Inputs_Assumptions!$B$13*01_Macro_Data!$B$97*($G$8-1)+D652*04_Baseline_PnL!$B$15*04_Baseline_PnL!$B$13*03_Inputs_Assumptions!$B$15*($H$8-1)</f>
        <v>212181.06411295</v>
      </c>
      <c r="I652" s="16" t="n">
        <f aca="false">G652+H652</f>
        <v>229733.43042165</v>
      </c>
    </row>
    <row r="653" customFormat="false" ht="15" hidden="false" customHeight="true" outlineLevel="0" collapsed="false">
      <c r="A653" s="4" t="s">
        <v>304</v>
      </c>
      <c r="B653" s="4" t="n">
        <v>43</v>
      </c>
      <c r="C653" s="24" t="n">
        <f aca="true">RAND()</f>
        <v>0.266772550892762</v>
      </c>
      <c r="D653" s="25" t="n">
        <f aca="false">IF(C653&lt;(($C$8-$B$8)/($D$8-$B$8)),$B$8+SQRT(C653*($D$8-$B$8)*($C$8-$B$8)),$D$8-SQRT((1-C653)*($D$8-$B$8)*($D$8-$C$8)))</f>
        <v>8.3411361202474</v>
      </c>
      <c r="E653" s="26" t="n">
        <f aca="true">MAX(0,$E$8+$F$8*_xlfn.NORM.S.INV(RAND()))</f>
        <v>0.193115971233458</v>
      </c>
      <c r="F653" s="27" t="n">
        <f aca="false">1/(1+EXP(-03_Inputs_Assumptions!$B$14*(E653-03_Inputs_Assumptions!$B$5)))</f>
        <v>0.00547691672812479</v>
      </c>
      <c r="G653" s="28" t="n">
        <f aca="false">D653*04_Baseline_PnL!$B$15*F653*04_Baseline_PnL!$B$14</f>
        <v>13063.2376498133</v>
      </c>
      <c r="H653" s="28" t="n">
        <f aca="false">D653*03_Inputs_Assumptions!$B$13*01_Macro_Data!$B$97*($G$8-1)+D653*04_Baseline_PnL!$B$15*04_Baseline_PnL!$B$13*03_Inputs_Assumptions!$B$15*($H$8-1)</f>
        <v>150510.43102582</v>
      </c>
      <c r="I653" s="16" t="n">
        <f aca="false">G653+H653</f>
        <v>163573.668675634</v>
      </c>
    </row>
    <row r="654" customFormat="false" ht="15" hidden="false" customHeight="true" outlineLevel="0" collapsed="false">
      <c r="A654" s="4" t="s">
        <v>304</v>
      </c>
      <c r="B654" s="4" t="n">
        <v>44</v>
      </c>
      <c r="C654" s="24" t="n">
        <f aca="true">RAND()</f>
        <v>0.434908116726972</v>
      </c>
      <c r="D654" s="25" t="n">
        <f aca="false">IF(C654&lt;(($C$8-$B$8)/($D$8-$B$8)),$B$8+SQRT(C654*($D$8-$B$8)*($C$8-$B$8)),$D$8-SQRT((1-C654)*($D$8-$B$8)*($D$8-$C$8)))</f>
        <v>9.27635882413091</v>
      </c>
      <c r="E654" s="26" t="n">
        <f aca="true">MAX(0,$E$8+$F$8*_xlfn.NORM.S.INV(RAND()))</f>
        <v>0</v>
      </c>
      <c r="F654" s="27" t="n">
        <f aca="false">1/(1+EXP(-03_Inputs_Assumptions!$B$14*(E654-03_Inputs_Assumptions!$B$5)))</f>
        <v>0.0052201256935584</v>
      </c>
      <c r="G654" s="28" t="n">
        <f aca="false">D654*04_Baseline_PnL!$B$15*F654*04_Baseline_PnL!$B$14</f>
        <v>13846.7541416722</v>
      </c>
      <c r="H654" s="28" t="n">
        <f aca="false">D654*03_Inputs_Assumptions!$B$13*01_Macro_Data!$B$97*($G$8-1)+D654*04_Baseline_PnL!$B$15*04_Baseline_PnL!$B$13*03_Inputs_Assumptions!$B$15*($H$8-1)</f>
        <v>167385.922594044</v>
      </c>
      <c r="I654" s="16" t="n">
        <f aca="false">G654+H654</f>
        <v>181232.676735716</v>
      </c>
    </row>
    <row r="655" customFormat="false" ht="15" hidden="false" customHeight="true" outlineLevel="0" collapsed="false">
      <c r="A655" s="4" t="s">
        <v>304</v>
      </c>
      <c r="B655" s="4" t="n">
        <v>45</v>
      </c>
      <c r="C655" s="24" t="n">
        <f aca="true">RAND()</f>
        <v>0.963019186127513</v>
      </c>
      <c r="D655" s="25" t="n">
        <f aca="false">IF(C655&lt;(($C$8-$B$8)/($D$8-$B$8)),$B$8+SQRT(C655*($D$8-$B$8)*($C$8-$B$8)),$D$8-SQRT((1-C655)*($D$8-$B$8)*($D$8-$C$8)))</f>
        <v>14.279981072837</v>
      </c>
      <c r="E655" s="26" t="n">
        <f aca="true">MAX(0,$E$8+$F$8*_xlfn.NORM.S.INV(RAND()))</f>
        <v>0</v>
      </c>
      <c r="F655" s="27" t="n">
        <f aca="false">1/(1+EXP(-03_Inputs_Assumptions!$B$14*(E655-03_Inputs_Assumptions!$B$5)))</f>
        <v>0.0052201256935584</v>
      </c>
      <c r="G655" s="28" t="n">
        <f aca="false">D655*04_Baseline_PnL!$B$15*F655*04_Baseline_PnL!$B$14</f>
        <v>21315.625108091</v>
      </c>
      <c r="H655" s="28" t="n">
        <f aca="false">D655*03_Inputs_Assumptions!$B$13*01_Macro_Data!$B$97*($G$8-1)+D655*04_Baseline_PnL!$B$15*04_Baseline_PnL!$B$13*03_Inputs_Assumptions!$B$15*($H$8-1)</f>
        <v>257673.064595606</v>
      </c>
      <c r="I655" s="16" t="n">
        <f aca="false">G655+H655</f>
        <v>278988.689703697</v>
      </c>
    </row>
    <row r="656" customFormat="false" ht="15" hidden="false" customHeight="true" outlineLevel="0" collapsed="false">
      <c r="A656" s="4" t="s">
        <v>304</v>
      </c>
      <c r="B656" s="4" t="n">
        <v>46</v>
      </c>
      <c r="C656" s="24" t="n">
        <f aca="true">RAND()</f>
        <v>0.47660316231318</v>
      </c>
      <c r="D656" s="25" t="n">
        <f aca="false">IF(C656&lt;(($C$8-$B$8)/($D$8-$B$8)),$B$8+SQRT(C656*($D$8-$B$8)*($C$8-$B$8)),$D$8-SQRT((1-C656)*($D$8-$B$8)*($D$8-$C$8)))</f>
        <v>9.52916179966261</v>
      </c>
      <c r="E656" s="26" t="n">
        <f aca="true">MAX(0,$E$8+$F$8*_xlfn.NORM.S.INV(RAND()))</f>
        <v>0</v>
      </c>
      <c r="F656" s="27" t="n">
        <f aca="false">1/(1+EXP(-03_Inputs_Assumptions!$B$14*(E656-03_Inputs_Assumptions!$B$5)))</f>
        <v>0.0052201256935584</v>
      </c>
      <c r="G656" s="28" t="n">
        <f aca="false">D656*04_Baseline_PnL!$B$15*F656*04_Baseline_PnL!$B$14</f>
        <v>14224.1113261921</v>
      </c>
      <c r="H656" s="28" t="n">
        <f aca="false">D656*03_Inputs_Assumptions!$B$13*01_Macro_Data!$B$97*($G$8-1)+D656*04_Baseline_PnL!$B$15*04_Baseline_PnL!$B$13*03_Inputs_Assumptions!$B$15*($H$8-1)</f>
        <v>171947.589525665</v>
      </c>
      <c r="I656" s="16" t="n">
        <f aca="false">G656+H656</f>
        <v>186171.700851858</v>
      </c>
    </row>
    <row r="657" customFormat="false" ht="15" hidden="false" customHeight="true" outlineLevel="0" collapsed="false">
      <c r="A657" s="4" t="s">
        <v>304</v>
      </c>
      <c r="B657" s="4" t="n">
        <v>47</v>
      </c>
      <c r="C657" s="24" t="n">
        <f aca="true">RAND()</f>
        <v>0.497491458543184</v>
      </c>
      <c r="D657" s="25" t="n">
        <f aca="false">IF(C657&lt;(($C$8-$B$8)/($D$8-$B$8)),$B$8+SQRT(C657*($D$8-$B$8)*($C$8-$B$8)),$D$8-SQRT((1-C657)*($D$8-$B$8)*($D$8-$C$8)))</f>
        <v>9.65959912020184</v>
      </c>
      <c r="E657" s="26" t="n">
        <f aca="true">MAX(0,$E$8+$F$8*_xlfn.NORM.S.INV(RAND()))</f>
        <v>0.493096312064943</v>
      </c>
      <c r="F657" s="27" t="n">
        <f aca="false">1/(1+EXP(-03_Inputs_Assumptions!$B$14*(E657-03_Inputs_Assumptions!$B$5)))</f>
        <v>0.00590093576114286</v>
      </c>
      <c r="G657" s="28" t="n">
        <f aca="false">D657*04_Baseline_PnL!$B$15*F657*04_Baseline_PnL!$B$14</f>
        <v>16299.319442724</v>
      </c>
      <c r="H657" s="28" t="n">
        <f aca="false">D657*03_Inputs_Assumptions!$B$13*01_Macro_Data!$B$97*($G$8-1)+D657*04_Baseline_PnL!$B$15*04_Baseline_PnL!$B$13*03_Inputs_Assumptions!$B$15*($H$8-1)</f>
        <v>174301.246995486</v>
      </c>
      <c r="I657" s="16" t="n">
        <f aca="false">G657+H657</f>
        <v>190600.56643821</v>
      </c>
    </row>
    <row r="658" customFormat="false" ht="15" hidden="false" customHeight="true" outlineLevel="0" collapsed="false">
      <c r="A658" s="4" t="s">
        <v>304</v>
      </c>
      <c r="B658" s="4" t="n">
        <v>48</v>
      </c>
      <c r="C658" s="24" t="n">
        <f aca="true">RAND()</f>
        <v>0.203856367760751</v>
      </c>
      <c r="D658" s="25" t="n">
        <f aca="false">IF(C658&lt;(($C$8-$B$8)/($D$8-$B$8)),$B$8+SQRT(C658*($D$8-$B$8)*($C$8-$B$8)),$D$8-SQRT((1-C658)*($D$8-$B$8)*($D$8-$C$8)))</f>
        <v>8.0193051318109</v>
      </c>
      <c r="E658" s="26" t="n">
        <f aca="true">MAX(0,$E$8+$F$8*_xlfn.NORM.S.INV(RAND()))</f>
        <v>0</v>
      </c>
      <c r="F658" s="27" t="n">
        <f aca="false">1/(1+EXP(-03_Inputs_Assumptions!$B$14*(E658-03_Inputs_Assumptions!$B$5)))</f>
        <v>0.0052201256935584</v>
      </c>
      <c r="G658" s="28" t="n">
        <f aca="false">D658*04_Baseline_PnL!$B$15*F658*04_Baseline_PnL!$B$14</f>
        <v>11970.3591303929</v>
      </c>
      <c r="H658" s="28" t="n">
        <f aca="false">D658*03_Inputs_Assumptions!$B$13*01_Macro_Data!$B$97*($G$8-1)+D658*04_Baseline_PnL!$B$15*04_Baseline_PnL!$B$13*03_Inputs_Assumptions!$B$15*($H$8-1)</f>
        <v>144703.198043558</v>
      </c>
      <c r="I658" s="16" t="n">
        <f aca="false">G658+H658</f>
        <v>156673.55717395</v>
      </c>
    </row>
    <row r="659" customFormat="false" ht="15" hidden="false" customHeight="true" outlineLevel="0" collapsed="false">
      <c r="A659" s="4" t="s">
        <v>304</v>
      </c>
      <c r="B659" s="4" t="n">
        <v>49</v>
      </c>
      <c r="C659" s="24" t="n">
        <f aca="true">RAND()</f>
        <v>0.84160153158538</v>
      </c>
      <c r="D659" s="25" t="n">
        <f aca="false">IF(C659&lt;(($C$8-$B$8)/($D$8-$B$8)),$B$8+SQRT(C659*($D$8-$B$8)*($C$8-$B$8)),$D$8-SQRT((1-C659)*($D$8-$B$8)*($D$8-$C$8)))</f>
        <v>12.4402419361466</v>
      </c>
      <c r="E659" s="26" t="n">
        <f aca="true">MAX(0,$E$8+$F$8*_xlfn.NORM.S.INV(RAND()))</f>
        <v>0.0877478109109379</v>
      </c>
      <c r="F659" s="27" t="n">
        <f aca="false">1/(1+EXP(-03_Inputs_Assumptions!$B$14*(E659-03_Inputs_Assumptions!$B$5)))</f>
        <v>0.0053352869057701</v>
      </c>
      <c r="G659" s="28" t="n">
        <f aca="false">D659*04_Baseline_PnL!$B$15*F659*04_Baseline_PnL!$B$14</f>
        <v>18979.120641668</v>
      </c>
      <c r="H659" s="28" t="n">
        <f aca="false">D659*03_Inputs_Assumptions!$B$13*01_Macro_Data!$B$97*($G$8-1)+D659*04_Baseline_PnL!$B$15*04_Baseline_PnL!$B$13*03_Inputs_Assumptions!$B$15*($H$8-1)</f>
        <v>224476.156351153</v>
      </c>
      <c r="I659" s="16" t="n">
        <f aca="false">G659+H659</f>
        <v>243455.276992821</v>
      </c>
    </row>
    <row r="660" customFormat="false" ht="15" hidden="false" customHeight="true" outlineLevel="0" collapsed="false">
      <c r="A660" s="4" t="s">
        <v>304</v>
      </c>
      <c r="B660" s="4" t="n">
        <v>50</v>
      </c>
      <c r="C660" s="24" t="n">
        <f aca="true">RAND()</f>
        <v>0.500364193429945</v>
      </c>
      <c r="D660" s="25" t="n">
        <f aca="false">IF(C660&lt;(($C$8-$B$8)/($D$8-$B$8)),$B$8+SQRT(C660*($D$8-$B$8)*($C$8-$B$8)),$D$8-SQRT((1-C660)*($D$8-$B$8)*($D$8-$C$8)))</f>
        <v>9.67774846074562</v>
      </c>
      <c r="E660" s="26" t="n">
        <f aca="true">MAX(0,$E$8+$F$8*_xlfn.NORM.S.INV(RAND()))</f>
        <v>0</v>
      </c>
      <c r="F660" s="27" t="n">
        <f aca="false">1/(1+EXP(-03_Inputs_Assumptions!$B$14*(E660-03_Inputs_Assumptions!$B$5)))</f>
        <v>0.0052201256935584</v>
      </c>
      <c r="G660" s="28" t="n">
        <f aca="false">D660*04_Baseline_PnL!$B$15*F660*04_Baseline_PnL!$B$14</f>
        <v>14445.9055672036</v>
      </c>
      <c r="H660" s="28" t="n">
        <f aca="false">D660*03_Inputs_Assumptions!$B$13*01_Macro_Data!$B$97*($G$8-1)+D660*04_Baseline_PnL!$B$15*04_Baseline_PnL!$B$13*03_Inputs_Assumptions!$B$15*($H$8-1)</f>
        <v>174628.74016053</v>
      </c>
      <c r="I660" s="16" t="n">
        <f aca="false">G660+H660</f>
        <v>189074.645727733</v>
      </c>
    </row>
    <row r="661" customFormat="false" ht="15" hidden="false" customHeight="true" outlineLevel="0" collapsed="false">
      <c r="A661" s="4" t="s">
        <v>304</v>
      </c>
      <c r="B661" s="4" t="n">
        <v>51</v>
      </c>
      <c r="C661" s="24" t="n">
        <f aca="true">RAND()</f>
        <v>0.17394812905007</v>
      </c>
      <c r="D661" s="25" t="n">
        <f aca="false">IF(C661&lt;(($C$8-$B$8)/($D$8-$B$8)),$B$8+SQRT(C661*($D$8-$B$8)*($C$8-$B$8)),$D$8-SQRT((1-C661)*($D$8-$B$8)*($D$8-$C$8)))</f>
        <v>7.86519773241375</v>
      </c>
      <c r="E661" s="26" t="n">
        <f aca="true">MAX(0,$E$8+$F$8*_xlfn.NORM.S.INV(RAND()))</f>
        <v>0</v>
      </c>
      <c r="F661" s="27" t="n">
        <f aca="false">1/(1+EXP(-03_Inputs_Assumptions!$B$14*(E661-03_Inputs_Assumptions!$B$5)))</f>
        <v>0.0052201256935584</v>
      </c>
      <c r="G661" s="28" t="n">
        <f aca="false">D661*04_Baseline_PnL!$B$15*F661*04_Baseline_PnL!$B$14</f>
        <v>11740.3241229809</v>
      </c>
      <c r="H661" s="28" t="n">
        <f aca="false">D661*03_Inputs_Assumptions!$B$13*01_Macro_Data!$B$97*($G$8-1)+D661*04_Baseline_PnL!$B$15*04_Baseline_PnL!$B$13*03_Inputs_Assumptions!$B$15*($H$8-1)</f>
        <v>141922.429240225</v>
      </c>
      <c r="I661" s="16" t="n">
        <f aca="false">G661+H661</f>
        <v>153662.753363206</v>
      </c>
    </row>
    <row r="662" customFormat="false" ht="15" hidden="false" customHeight="true" outlineLevel="0" collapsed="false">
      <c r="A662" s="4" t="s">
        <v>304</v>
      </c>
      <c r="B662" s="4" t="n">
        <v>52</v>
      </c>
      <c r="C662" s="24" t="n">
        <f aca="true">RAND()</f>
        <v>0.152261669885001</v>
      </c>
      <c r="D662" s="25" t="n">
        <f aca="false">IF(C662&lt;(($C$8-$B$8)/($D$8-$B$8)),$B$8+SQRT(C662*($D$8-$B$8)*($C$8-$B$8)),$D$8-SQRT((1-C662)*($D$8-$B$8)*($D$8-$C$8)))</f>
        <v>7.7450597117864</v>
      </c>
      <c r="E662" s="26" t="n">
        <f aca="true">MAX(0,$E$8+$F$8*_xlfn.NORM.S.INV(RAND()))</f>
        <v>0.148477848898786</v>
      </c>
      <c r="F662" s="27" t="n">
        <f aca="false">1/(1+EXP(-03_Inputs_Assumptions!$B$14*(E662-03_Inputs_Assumptions!$B$5)))</f>
        <v>0.00541646589064977</v>
      </c>
      <c r="G662" s="28" t="n">
        <f aca="false">D662*04_Baseline_PnL!$B$15*F662*04_Baseline_PnL!$B$14</f>
        <v>11995.8289427537</v>
      </c>
      <c r="H662" s="28" t="n">
        <f aca="false">D662*03_Inputs_Assumptions!$B$13*01_Macro_Data!$B$97*($G$8-1)+D662*04_Baseline_PnL!$B$15*04_Baseline_PnL!$B$13*03_Inputs_Assumptions!$B$15*($H$8-1)</f>
        <v>139754.616006328</v>
      </c>
      <c r="I662" s="16" t="n">
        <f aca="false">G662+H662</f>
        <v>151750.444949082</v>
      </c>
    </row>
    <row r="663" customFormat="false" ht="15" hidden="false" customHeight="true" outlineLevel="0" collapsed="false">
      <c r="A663" s="4" t="s">
        <v>304</v>
      </c>
      <c r="B663" s="4" t="n">
        <v>53</v>
      </c>
      <c r="C663" s="24" t="n">
        <f aca="true">RAND()</f>
        <v>0.668775542549729</v>
      </c>
      <c r="D663" s="25" t="n">
        <f aca="false">IF(C663&lt;(($C$8-$B$8)/($D$8-$B$8)),$B$8+SQRT(C663*($D$8-$B$8)*($C$8-$B$8)),$D$8-SQRT((1-C663)*($D$8-$B$8)*($D$8-$C$8)))</f>
        <v>10.8523834062722</v>
      </c>
      <c r="E663" s="26" t="n">
        <f aca="true">MAX(0,$E$8+$F$8*_xlfn.NORM.S.INV(RAND()))</f>
        <v>0.189201046565763</v>
      </c>
      <c r="F663" s="27" t="n">
        <f aca="false">1/(1+EXP(-03_Inputs_Assumptions!$B$14*(E663-03_Inputs_Assumptions!$B$5)))</f>
        <v>0.00547158823709062</v>
      </c>
      <c r="G663" s="28" t="n">
        <f aca="false">D663*04_Baseline_PnL!$B$15*F663*04_Baseline_PnL!$B$14</f>
        <v>16979.6219751096</v>
      </c>
      <c r="H663" s="28" t="n">
        <f aca="false">D663*03_Inputs_Assumptions!$B$13*01_Macro_Data!$B$97*($G$8-1)+D663*04_Baseline_PnL!$B$15*04_Baseline_PnL!$B$13*03_Inputs_Assumptions!$B$15*($H$8-1)</f>
        <v>195824.271488696</v>
      </c>
      <c r="I663" s="16" t="n">
        <f aca="false">G663+H663</f>
        <v>212803.893463805</v>
      </c>
    </row>
    <row r="664" customFormat="false" ht="15" hidden="false" customHeight="true" outlineLevel="0" collapsed="false">
      <c r="A664" s="4" t="s">
        <v>304</v>
      </c>
      <c r="B664" s="4" t="n">
        <v>54</v>
      </c>
      <c r="C664" s="24" t="n">
        <f aca="true">RAND()</f>
        <v>0.0127133128155673</v>
      </c>
      <c r="D664" s="25" t="n">
        <f aca="false">IF(C664&lt;(($C$8-$B$8)/($D$8-$B$8)),$B$8+SQRT(C664*($D$8-$B$8)*($C$8-$B$8)),$D$8-SQRT((1-C664)*($D$8-$B$8)*($D$8-$C$8)))</f>
        <v>6.50424820903137</v>
      </c>
      <c r="E664" s="26" t="n">
        <f aca="true">MAX(0,$E$8+$F$8*_xlfn.NORM.S.INV(RAND()))</f>
        <v>0</v>
      </c>
      <c r="F664" s="27" t="n">
        <f aca="false">1/(1+EXP(-03_Inputs_Assumptions!$B$14*(E664-03_Inputs_Assumptions!$B$5)))</f>
        <v>0.0052201256935584</v>
      </c>
      <c r="G664" s="28" t="n">
        <f aca="false">D664*04_Baseline_PnL!$B$15*F664*04_Baseline_PnL!$B$14</f>
        <v>9708.84455144037</v>
      </c>
      <c r="H664" s="28" t="n">
        <f aca="false">D664*03_Inputs_Assumptions!$B$13*01_Macro_Data!$B$97*($G$8-1)+D664*04_Baseline_PnL!$B$15*04_Baseline_PnL!$B$13*03_Inputs_Assumptions!$B$15*($H$8-1)</f>
        <v>117364.971309352</v>
      </c>
      <c r="I664" s="16" t="n">
        <f aca="false">G664+H664</f>
        <v>127073.815860792</v>
      </c>
    </row>
    <row r="665" customFormat="false" ht="15" hidden="false" customHeight="true" outlineLevel="0" collapsed="false">
      <c r="A665" s="4" t="s">
        <v>304</v>
      </c>
      <c r="B665" s="4" t="n">
        <v>55</v>
      </c>
      <c r="C665" s="24" t="n">
        <f aca="true">RAND()</f>
        <v>0.43910292566064</v>
      </c>
      <c r="D665" s="25" t="n">
        <f aca="false">IF(C665&lt;(($C$8-$B$8)/($D$8-$B$8)),$B$8+SQRT(C665*($D$8-$B$8)*($C$8-$B$8)),$D$8-SQRT((1-C665)*($D$8-$B$8)*($D$8-$C$8)))</f>
        <v>9.30136088842302</v>
      </c>
      <c r="E665" s="26" t="n">
        <f aca="true">MAX(0,$E$8+$F$8*_xlfn.NORM.S.INV(RAND()))</f>
        <v>0.592987197214417</v>
      </c>
      <c r="F665" s="27" t="n">
        <f aca="false">1/(1+EXP(-03_Inputs_Assumptions!$B$14*(E665-03_Inputs_Assumptions!$B$5)))</f>
        <v>0.00604925096222297</v>
      </c>
      <c r="G665" s="28" t="n">
        <f aca="false">D665*04_Baseline_PnL!$B$15*F665*04_Baseline_PnL!$B$14</f>
        <v>16089.3158941531</v>
      </c>
      <c r="H665" s="28" t="n">
        <f aca="false">D665*03_Inputs_Assumptions!$B$13*01_Macro_Data!$B$97*($G$8-1)+D665*04_Baseline_PnL!$B$15*04_Baseline_PnL!$B$13*03_Inputs_Assumptions!$B$15*($H$8-1)</f>
        <v>167837.068747145</v>
      </c>
      <c r="I665" s="16" t="n">
        <f aca="false">G665+H665</f>
        <v>183926.384641298</v>
      </c>
    </row>
    <row r="666" customFormat="false" ht="15" hidden="false" customHeight="true" outlineLevel="0" collapsed="false">
      <c r="A666" s="4" t="s">
        <v>304</v>
      </c>
      <c r="B666" s="4" t="n">
        <v>56</v>
      </c>
      <c r="C666" s="24" t="n">
        <f aca="true">RAND()</f>
        <v>0.224156937406873</v>
      </c>
      <c r="D666" s="25" t="n">
        <f aca="false">IF(C666&lt;(($C$8-$B$8)/($D$8-$B$8)),$B$8+SQRT(C666*($D$8-$B$8)*($C$8-$B$8)),$D$8-SQRT((1-C666)*($D$8-$B$8)*($D$8-$C$8)))</f>
        <v>8.12171052782077</v>
      </c>
      <c r="E666" s="26" t="n">
        <f aca="true">MAX(0,$E$8+$F$8*_xlfn.NORM.S.INV(RAND()))</f>
        <v>0.242714795237038</v>
      </c>
      <c r="F666" s="27" t="n">
        <f aca="false">1/(1+EXP(-03_Inputs_Assumptions!$B$14*(E666-03_Inputs_Assumptions!$B$5)))</f>
        <v>0.00554487276783055</v>
      </c>
      <c r="G666" s="28" t="n">
        <f aca="false">D666*04_Baseline_PnL!$B$15*F666*04_Baseline_PnL!$B$14</f>
        <v>12877.4114731779</v>
      </c>
      <c r="H666" s="28" t="n">
        <f aca="false">D666*03_Inputs_Assumptions!$B$13*01_Macro_Data!$B$97*($G$8-1)+D666*04_Baseline_PnL!$B$15*04_Baseline_PnL!$B$13*03_Inputs_Assumptions!$B$15*($H$8-1)</f>
        <v>146551.037483008</v>
      </c>
      <c r="I666" s="16" t="n">
        <f aca="false">G666+H666</f>
        <v>159428.448956186</v>
      </c>
    </row>
    <row r="667" customFormat="false" ht="15" hidden="false" customHeight="true" outlineLevel="0" collapsed="false">
      <c r="A667" s="4" t="s">
        <v>304</v>
      </c>
      <c r="B667" s="4" t="n">
        <v>57</v>
      </c>
      <c r="C667" s="24" t="n">
        <f aca="true">RAND()</f>
        <v>0.421451710825008</v>
      </c>
      <c r="D667" s="25" t="n">
        <f aca="false">IF(C667&lt;(($C$8-$B$8)/($D$8-$B$8)),$B$8+SQRT(C667*($D$8-$B$8)*($C$8-$B$8)),$D$8-SQRT((1-C667)*($D$8-$B$8)*($D$8-$C$8)))</f>
        <v>9.19677553405745</v>
      </c>
      <c r="E667" s="26" t="n">
        <f aca="true">MAX(0,$E$8+$F$8*_xlfn.NORM.S.INV(RAND()))</f>
        <v>0</v>
      </c>
      <c r="F667" s="27" t="n">
        <f aca="false">1/(1+EXP(-03_Inputs_Assumptions!$B$14*(E667-03_Inputs_Assumptions!$B$5)))</f>
        <v>0.0052201256935584</v>
      </c>
      <c r="G667" s="28" t="n">
        <f aca="false">D667*04_Baseline_PnL!$B$15*F667*04_Baseline_PnL!$B$14</f>
        <v>13727.9607365954</v>
      </c>
      <c r="H667" s="28" t="n">
        <f aca="false">D667*03_Inputs_Assumptions!$B$13*01_Macro_Data!$B$97*($G$8-1)+D667*04_Baseline_PnL!$B$15*04_Baseline_PnL!$B$13*03_Inputs_Assumptions!$B$15*($H$8-1)</f>
        <v>165949.893362686</v>
      </c>
      <c r="I667" s="16" t="n">
        <f aca="false">G667+H667</f>
        <v>179677.854099282</v>
      </c>
    </row>
    <row r="668" customFormat="false" ht="15" hidden="false" customHeight="true" outlineLevel="0" collapsed="false">
      <c r="A668" s="4" t="s">
        <v>304</v>
      </c>
      <c r="B668" s="4" t="n">
        <v>58</v>
      </c>
      <c r="C668" s="24" t="n">
        <f aca="true">RAND()</f>
        <v>0.308350003255319</v>
      </c>
      <c r="D668" s="25" t="n">
        <f aca="false">IF(C668&lt;(($C$8-$B$8)/($D$8-$B$8)),$B$8+SQRT(C668*($D$8-$B$8)*($C$8-$B$8)),$D$8-SQRT((1-C668)*($D$8-$B$8)*($D$8-$C$8)))</f>
        <v>8.56145177204755</v>
      </c>
      <c r="E668" s="26" t="n">
        <f aca="true">MAX(0,$E$8+$F$8*_xlfn.NORM.S.INV(RAND()))</f>
        <v>0</v>
      </c>
      <c r="F668" s="27" t="n">
        <f aca="false">1/(1+EXP(-03_Inputs_Assumptions!$B$14*(E668-03_Inputs_Assumptions!$B$5)))</f>
        <v>0.0052201256935584</v>
      </c>
      <c r="G668" s="28" t="n">
        <f aca="false">D668*04_Baseline_PnL!$B$15*F668*04_Baseline_PnL!$B$14</f>
        <v>12779.6175235204</v>
      </c>
      <c r="H668" s="28" t="n">
        <f aca="false">D668*03_Inputs_Assumptions!$B$13*01_Macro_Data!$B$97*($G$8-1)+D668*04_Baseline_PnL!$B$15*04_Baseline_PnL!$B$13*03_Inputs_Assumptions!$B$15*($H$8-1)</f>
        <v>154485.885116982</v>
      </c>
      <c r="I668" s="16" t="n">
        <f aca="false">G668+H668</f>
        <v>167265.502640503</v>
      </c>
    </row>
    <row r="669" customFormat="false" ht="15" hidden="false" customHeight="true" outlineLevel="0" collapsed="false">
      <c r="A669" s="4" t="s">
        <v>304</v>
      </c>
      <c r="B669" s="4" t="n">
        <v>59</v>
      </c>
      <c r="C669" s="24" t="n">
        <f aca="true">RAND()</f>
        <v>0.221074451139316</v>
      </c>
      <c r="D669" s="25" t="n">
        <f aca="false">IF(C669&lt;(($C$8-$B$8)/($D$8-$B$8)),$B$8+SQRT(C669*($D$8-$B$8)*($C$8-$B$8)),$D$8-SQRT((1-C669)*($D$8-$B$8)*($D$8-$C$8)))</f>
        <v>8.10607550651422</v>
      </c>
      <c r="E669" s="26" t="n">
        <f aca="true">MAX(0,$E$8+$F$8*_xlfn.NORM.S.INV(RAND()))</f>
        <v>0.365910461729338</v>
      </c>
      <c r="F669" s="27" t="n">
        <f aca="false">1/(1+EXP(-03_Inputs_Assumptions!$B$14*(E669-03_Inputs_Assumptions!$B$5)))</f>
        <v>0.00571731433724888</v>
      </c>
      <c r="G669" s="28" t="n">
        <f aca="false">D669*04_Baseline_PnL!$B$15*F669*04_Baseline_PnL!$B$14</f>
        <v>13252.3286127468</v>
      </c>
      <c r="H669" s="28" t="n">
        <f aca="false">D669*03_Inputs_Assumptions!$B$13*01_Macro_Data!$B$97*($G$8-1)+D669*04_Baseline_PnL!$B$15*04_Baseline_PnL!$B$13*03_Inputs_Assumptions!$B$15*($H$8-1)</f>
        <v>146268.913589809</v>
      </c>
      <c r="I669" s="16" t="n">
        <f aca="false">G669+H669</f>
        <v>159521.242202556</v>
      </c>
    </row>
    <row r="670" customFormat="false" ht="15" hidden="false" customHeight="true" outlineLevel="0" collapsed="false">
      <c r="A670" s="4" t="s">
        <v>304</v>
      </c>
      <c r="B670" s="4" t="n">
        <v>60</v>
      </c>
      <c r="C670" s="24" t="n">
        <f aca="true">RAND()</f>
        <v>0.454807878960551</v>
      </c>
      <c r="D670" s="25" t="n">
        <f aca="false">IF(C670&lt;(($C$8-$B$8)/($D$8-$B$8)),$B$8+SQRT(C670*($D$8-$B$8)*($C$8-$B$8)),$D$8-SQRT((1-C670)*($D$8-$B$8)*($D$8-$C$8)))</f>
        <v>9.39580665916299</v>
      </c>
      <c r="E670" s="26" t="n">
        <f aca="true">MAX(0,$E$8+$F$8*_xlfn.NORM.S.INV(RAND()))</f>
        <v>0.202250501613508</v>
      </c>
      <c r="F670" s="27" t="n">
        <f aca="false">1/(1+EXP(-03_Inputs_Assumptions!$B$14*(E670-03_Inputs_Assumptions!$B$5)))</f>
        <v>0.00548936955010591</v>
      </c>
      <c r="G670" s="28" t="n">
        <f aca="false">D670*04_Baseline_PnL!$B$15*F670*04_Baseline_PnL!$B$14</f>
        <v>14748.4378272234</v>
      </c>
      <c r="H670" s="28" t="n">
        <f aca="false">D670*03_Inputs_Assumptions!$B$13*01_Macro_Data!$B$97*($G$8-1)+D670*04_Baseline_PnL!$B$15*04_Baseline_PnL!$B$13*03_Inputs_Assumptions!$B$15*($H$8-1)</f>
        <v>169541.281873236</v>
      </c>
      <c r="I670" s="16" t="n">
        <f aca="false">G670+H670</f>
        <v>184289.719700459</v>
      </c>
    </row>
    <row r="671" customFormat="false" ht="15" hidden="false" customHeight="true" outlineLevel="0" collapsed="false">
      <c r="A671" s="4" t="s">
        <v>304</v>
      </c>
      <c r="B671" s="4" t="n">
        <v>61</v>
      </c>
      <c r="C671" s="24" t="n">
        <f aca="true">RAND()</f>
        <v>0.644025714890156</v>
      </c>
      <c r="D671" s="25" t="n">
        <f aca="false">IF(C671&lt;(($C$8-$B$8)/($D$8-$B$8)),$B$8+SQRT(C671*($D$8-$B$8)*($C$8-$B$8)),$D$8-SQRT((1-C671)*($D$8-$B$8)*($D$8-$C$8)))</f>
        <v>10.6635271190807</v>
      </c>
      <c r="E671" s="26" t="n">
        <f aca="true">MAX(0,$E$8+$F$8*_xlfn.NORM.S.INV(RAND()))</f>
        <v>0</v>
      </c>
      <c r="F671" s="27" t="n">
        <f aca="false">1/(1+EXP(-03_Inputs_Assumptions!$B$14*(E671-03_Inputs_Assumptions!$B$5)))</f>
        <v>0.0052201256935584</v>
      </c>
      <c r="G671" s="28" t="n">
        <f aca="false">D671*04_Baseline_PnL!$B$15*F671*04_Baseline_PnL!$B$14</f>
        <v>15917.3702850803</v>
      </c>
      <c r="H671" s="28" t="n">
        <f aca="false">D671*03_Inputs_Assumptions!$B$13*01_Macro_Data!$B$97*($G$8-1)+D671*04_Baseline_PnL!$B$15*04_Baseline_PnL!$B$13*03_Inputs_Assumptions!$B$15*($H$8-1)</f>
        <v>192416.481377449</v>
      </c>
      <c r="I671" s="16" t="n">
        <f aca="false">G671+H671</f>
        <v>208333.85166253</v>
      </c>
    </row>
    <row r="672" customFormat="false" ht="15" hidden="false" customHeight="true" outlineLevel="0" collapsed="false">
      <c r="A672" s="4" t="s">
        <v>304</v>
      </c>
      <c r="B672" s="4" t="n">
        <v>62</v>
      </c>
      <c r="C672" s="24" t="n">
        <f aca="true">RAND()</f>
        <v>0.660876383787836</v>
      </c>
      <c r="D672" s="25" t="n">
        <f aca="false">IF(C672&lt;(($C$8-$B$8)/($D$8-$B$8)),$B$8+SQRT(C672*($D$8-$B$8)*($C$8-$B$8)),$D$8-SQRT((1-C672)*($D$8-$B$8)*($D$8-$C$8)))</f>
        <v>10.79136396962</v>
      </c>
      <c r="E672" s="26" t="n">
        <f aca="true">MAX(0,$E$8+$F$8*_xlfn.NORM.S.INV(RAND()))</f>
        <v>0.351304765598366</v>
      </c>
      <c r="F672" s="27" t="n">
        <f aca="false">1/(1+EXP(-03_Inputs_Assumptions!$B$14*(E672-03_Inputs_Assumptions!$B$5)))</f>
        <v>0.00569659477329644</v>
      </c>
      <c r="G672" s="28" t="n">
        <f aca="false">D672*04_Baseline_PnL!$B$15*F672*04_Baseline_PnL!$B$14</f>
        <v>17578.4731080176</v>
      </c>
      <c r="H672" s="28" t="n">
        <f aca="false">D672*03_Inputs_Assumptions!$B$13*01_Macro_Data!$B$97*($G$8-1)+D672*04_Baseline_PnL!$B$15*04_Baseline_PnL!$B$13*03_Inputs_Assumptions!$B$15*($H$8-1)</f>
        <v>194723.215040379</v>
      </c>
      <c r="I672" s="16" t="n">
        <f aca="false">G672+H672</f>
        <v>212301.688148397</v>
      </c>
    </row>
    <row r="673" customFormat="false" ht="15" hidden="false" customHeight="true" outlineLevel="0" collapsed="false">
      <c r="A673" s="4" t="s">
        <v>304</v>
      </c>
      <c r="B673" s="4" t="n">
        <v>63</v>
      </c>
      <c r="C673" s="24" t="n">
        <f aca="true">RAND()</f>
        <v>0.485771582092971</v>
      </c>
      <c r="D673" s="25" t="n">
        <f aca="false">IF(C673&lt;(($C$8-$B$8)/($D$8-$B$8)),$B$8+SQRT(C673*($D$8-$B$8)*($C$8-$B$8)),$D$8-SQRT((1-C673)*($D$8-$B$8)*($D$8-$C$8)))</f>
        <v>9.58608750975176</v>
      </c>
      <c r="E673" s="26" t="n">
        <f aca="true">MAX(0,$E$8+$F$8*_xlfn.NORM.S.INV(RAND()))</f>
        <v>0.0214567941758224</v>
      </c>
      <c r="F673" s="27" t="n">
        <f aca="false">1/(1+EXP(-03_Inputs_Assumptions!$B$14*(E673-03_Inputs_Assumptions!$B$5)))</f>
        <v>0.00524805537245451</v>
      </c>
      <c r="G673" s="28" t="n">
        <f aca="false">D673*04_Baseline_PnL!$B$15*F673*04_Baseline_PnL!$B$14</f>
        <v>14385.6430233932</v>
      </c>
      <c r="H673" s="28" t="n">
        <f aca="false">D673*03_Inputs_Assumptions!$B$13*01_Macro_Data!$B$97*($G$8-1)+D673*04_Baseline_PnL!$B$15*04_Baseline_PnL!$B$13*03_Inputs_Assumptions!$B$15*($H$8-1)</f>
        <v>172974.77731381</v>
      </c>
      <c r="I673" s="16" t="n">
        <f aca="false">G673+H673</f>
        <v>187360.420337203</v>
      </c>
    </row>
    <row r="674" customFormat="false" ht="15" hidden="false" customHeight="true" outlineLevel="0" collapsed="false">
      <c r="A674" s="4" t="s">
        <v>304</v>
      </c>
      <c r="B674" s="4" t="n">
        <v>64</v>
      </c>
      <c r="C674" s="24" t="n">
        <f aca="true">RAND()</f>
        <v>0.975100172507093</v>
      </c>
      <c r="D674" s="25" t="n">
        <f aca="false">IF(C674&lt;(($C$8-$B$8)/($D$8-$B$8)),$B$8+SQRT(C674*($D$8-$B$8)*($C$8-$B$8)),$D$8-SQRT((1-C674)*($D$8-$B$8)*($D$8-$C$8)))</f>
        <v>14.5886225878835</v>
      </c>
      <c r="E674" s="26" t="n">
        <f aca="true">MAX(0,$E$8+$F$8*_xlfn.NORM.S.INV(RAND()))</f>
        <v>0.0822156307114769</v>
      </c>
      <c r="F674" s="27" t="n">
        <f aca="false">1/(1+EXP(-03_Inputs_Assumptions!$B$14*(E674-03_Inputs_Assumptions!$B$5)))</f>
        <v>0.00532795235145627</v>
      </c>
      <c r="G674" s="28" t="n">
        <f aca="false">D674*04_Baseline_PnL!$B$15*F674*04_Baseline_PnL!$B$14</f>
        <v>22226.1429165633</v>
      </c>
      <c r="H674" s="28" t="n">
        <f aca="false">D674*03_Inputs_Assumptions!$B$13*01_Macro_Data!$B$97*($G$8-1)+D674*04_Baseline_PnL!$B$15*04_Baseline_PnL!$B$13*03_Inputs_Assumptions!$B$15*($H$8-1)</f>
        <v>263242.302022311</v>
      </c>
      <c r="I674" s="16" t="n">
        <f aca="false">G674+H674</f>
        <v>285468.444938874</v>
      </c>
    </row>
    <row r="675" customFormat="false" ht="15" hidden="false" customHeight="true" outlineLevel="0" collapsed="false">
      <c r="A675" s="4" t="s">
        <v>304</v>
      </c>
      <c r="B675" s="4" t="n">
        <v>65</v>
      </c>
      <c r="C675" s="24" t="n">
        <f aca="true">RAND()</f>
        <v>0.207281069065638</v>
      </c>
      <c r="D675" s="25" t="n">
        <f aca="false">IF(C675&lt;(($C$8-$B$8)/($D$8-$B$8)),$B$8+SQRT(C675*($D$8-$B$8)*($C$8-$B$8)),$D$8-SQRT((1-C675)*($D$8-$B$8)*($D$8-$C$8)))</f>
        <v>8.03648855876072</v>
      </c>
      <c r="E675" s="26" t="n">
        <f aca="true">MAX(0,$E$8+$F$8*_xlfn.NORM.S.INV(RAND()))</f>
        <v>0</v>
      </c>
      <c r="F675" s="27" t="n">
        <f aca="false">1/(1+EXP(-03_Inputs_Assumptions!$B$14*(E675-03_Inputs_Assumptions!$B$5)))</f>
        <v>0.0052201256935584</v>
      </c>
      <c r="G675" s="28" t="n">
        <f aca="false">D675*04_Baseline_PnL!$B$15*F675*04_Baseline_PnL!$B$14</f>
        <v>11996.0087082926</v>
      </c>
      <c r="H675" s="28" t="n">
        <f aca="false">D675*03_Inputs_Assumptions!$B$13*01_Macro_Data!$B$97*($G$8-1)+D675*04_Baseline_PnL!$B$15*04_Baseline_PnL!$B$13*03_Inputs_Assumptions!$B$15*($H$8-1)</f>
        <v>145013.261919681</v>
      </c>
      <c r="I675" s="16" t="n">
        <f aca="false">G675+H675</f>
        <v>157009.270627974</v>
      </c>
    </row>
    <row r="676" customFormat="false" ht="15" hidden="false" customHeight="true" outlineLevel="0" collapsed="false">
      <c r="A676" s="4" t="s">
        <v>304</v>
      </c>
      <c r="B676" s="4" t="n">
        <v>66</v>
      </c>
      <c r="C676" s="24" t="n">
        <f aca="true">RAND()</f>
        <v>0.483725431456849</v>
      </c>
      <c r="D676" s="25" t="n">
        <f aca="false">IF(C676&lt;(($C$8-$B$8)/($D$8-$B$8)),$B$8+SQRT(C676*($D$8-$B$8)*($C$8-$B$8)),$D$8-SQRT((1-C676)*($D$8-$B$8)*($D$8-$C$8)))</f>
        <v>9.57333947656701</v>
      </c>
      <c r="E676" s="26" t="n">
        <f aca="true">MAX(0,$E$8+$F$8*_xlfn.NORM.S.INV(RAND()))</f>
        <v>0</v>
      </c>
      <c r="F676" s="27" t="n">
        <f aca="false">1/(1+EXP(-03_Inputs_Assumptions!$B$14*(E676-03_Inputs_Assumptions!$B$5)))</f>
        <v>0.0052201256935584</v>
      </c>
      <c r="G676" s="28" t="n">
        <f aca="false">D676*04_Baseline_PnL!$B$15*F676*04_Baseline_PnL!$B$14</f>
        <v>14290.0550269742</v>
      </c>
      <c r="H676" s="28" t="n">
        <f aca="false">D676*03_Inputs_Assumptions!$B$13*01_Macro_Data!$B$97*($G$8-1)+D676*04_Baseline_PnL!$B$15*04_Baseline_PnL!$B$13*03_Inputs_Assumptions!$B$15*($H$8-1)</f>
        <v>172744.747262543</v>
      </c>
      <c r="I676" s="16" t="n">
        <f aca="false">G676+H676</f>
        <v>187034.802289517</v>
      </c>
    </row>
    <row r="677" customFormat="false" ht="15" hidden="false" customHeight="true" outlineLevel="0" collapsed="false">
      <c r="A677" s="4" t="s">
        <v>304</v>
      </c>
      <c r="B677" s="4" t="n">
        <v>67</v>
      </c>
      <c r="C677" s="24" t="n">
        <f aca="true">RAND()</f>
        <v>0.470876418670847</v>
      </c>
      <c r="D677" s="25" t="n">
        <f aca="false">IF(C677&lt;(($C$8-$B$8)/($D$8-$B$8)),$B$8+SQRT(C677*($D$8-$B$8)*($C$8-$B$8)),$D$8-SQRT((1-C677)*($D$8-$B$8)*($D$8-$C$8)))</f>
        <v>9.4938577861891</v>
      </c>
      <c r="E677" s="26" t="n">
        <f aca="true">MAX(0,$E$8+$F$8*_xlfn.NORM.S.INV(RAND()))</f>
        <v>0</v>
      </c>
      <c r="F677" s="27" t="n">
        <f aca="false">1/(1+EXP(-03_Inputs_Assumptions!$B$14*(E677-03_Inputs_Assumptions!$B$5)))</f>
        <v>0.0052201256935584</v>
      </c>
      <c r="G677" s="28" t="n">
        <f aca="false">D677*04_Baseline_PnL!$B$15*F677*04_Baseline_PnL!$B$14</f>
        <v>14171.4132790327</v>
      </c>
      <c r="H677" s="28" t="n">
        <f aca="false">D677*03_Inputs_Assumptions!$B$13*01_Macro_Data!$B$97*($G$8-1)+D677*04_Baseline_PnL!$B$15*04_Baseline_PnL!$B$13*03_Inputs_Assumptions!$B$15*($H$8-1)</f>
        <v>171310.551332278</v>
      </c>
      <c r="I677" s="16" t="n">
        <f aca="false">G677+H677</f>
        <v>185481.964611311</v>
      </c>
    </row>
    <row r="678" customFormat="false" ht="15" hidden="false" customHeight="true" outlineLevel="0" collapsed="false">
      <c r="A678" s="4" t="s">
        <v>304</v>
      </c>
      <c r="B678" s="4" t="n">
        <v>68</v>
      </c>
      <c r="C678" s="24" t="n">
        <f aca="true">RAND()</f>
        <v>0.169165893700508</v>
      </c>
      <c r="D678" s="25" t="n">
        <f aca="false">IF(C678&lt;(($C$8-$B$8)/($D$8-$B$8)),$B$8+SQRT(C678*($D$8-$B$8)*($C$8-$B$8)),$D$8-SQRT((1-C678)*($D$8-$B$8)*($D$8-$C$8)))</f>
        <v>7.83937975252806</v>
      </c>
      <c r="E678" s="26" t="n">
        <f aca="true">MAX(0,$E$8+$F$8*_xlfn.NORM.S.INV(RAND()))</f>
        <v>0</v>
      </c>
      <c r="F678" s="27" t="n">
        <f aca="false">1/(1+EXP(-03_Inputs_Assumptions!$B$14*(E678-03_Inputs_Assumptions!$B$5)))</f>
        <v>0.0052201256935584</v>
      </c>
      <c r="G678" s="28" t="n">
        <f aca="false">D678*04_Baseline_PnL!$B$15*F678*04_Baseline_PnL!$B$14</f>
        <v>11701.7858099758</v>
      </c>
      <c r="H678" s="28" t="n">
        <f aca="false">D678*03_Inputs_Assumptions!$B$13*01_Macro_Data!$B$97*($G$8-1)+D678*04_Baseline_PnL!$B$15*04_Baseline_PnL!$B$13*03_Inputs_Assumptions!$B$15*($H$8-1)</f>
        <v>141456.560415548</v>
      </c>
      <c r="I678" s="16" t="n">
        <f aca="false">G678+H678</f>
        <v>153158.346225524</v>
      </c>
    </row>
    <row r="679" customFormat="false" ht="15" hidden="false" customHeight="true" outlineLevel="0" collapsed="false">
      <c r="A679" s="4" t="s">
        <v>304</v>
      </c>
      <c r="B679" s="4" t="n">
        <v>69</v>
      </c>
      <c r="C679" s="24" t="n">
        <f aca="true">RAND()</f>
        <v>0.97381682219773</v>
      </c>
      <c r="D679" s="25" t="n">
        <f aca="false">IF(C679&lt;(($C$8-$B$8)/($D$8-$B$8)),$B$8+SQRT(C679*($D$8-$B$8)*($C$8-$B$8)),$D$8-SQRT((1-C679)*($D$8-$B$8)*($D$8-$C$8)))</f>
        <v>14.5527079685904</v>
      </c>
      <c r="E679" s="26" t="n">
        <f aca="true">MAX(0,$E$8+$F$8*_xlfn.NORM.S.INV(RAND()))</f>
        <v>0</v>
      </c>
      <c r="F679" s="27" t="n">
        <f aca="false">1/(1+EXP(-03_Inputs_Assumptions!$B$14*(E679-03_Inputs_Assumptions!$B$5)))</f>
        <v>0.0052201256935584</v>
      </c>
      <c r="G679" s="28" t="n">
        <f aca="false">D679*04_Baseline_PnL!$B$15*F679*04_Baseline_PnL!$B$14</f>
        <v>21722.72258512</v>
      </c>
      <c r="H679" s="28" t="n">
        <f aca="false">D679*03_Inputs_Assumptions!$B$13*01_Macro_Data!$B$97*($G$8-1)+D679*04_Baseline_PnL!$B$15*04_Baseline_PnL!$B$13*03_Inputs_Assumptions!$B$15*($H$8-1)</f>
        <v>262594.245840035</v>
      </c>
      <c r="I679" s="16" t="n">
        <f aca="false">G679+H679</f>
        <v>284316.968425155</v>
      </c>
    </row>
    <row r="680" customFormat="false" ht="15" hidden="false" customHeight="true" outlineLevel="0" collapsed="false">
      <c r="A680" s="4" t="s">
        <v>304</v>
      </c>
      <c r="B680" s="4" t="n">
        <v>70</v>
      </c>
      <c r="C680" s="24" t="n">
        <f aca="true">RAND()</f>
        <v>0.423918110487484</v>
      </c>
      <c r="D680" s="25" t="n">
        <f aca="false">IF(C680&lt;(($C$8-$B$8)/($D$8-$B$8)),$B$8+SQRT(C680*($D$8-$B$8)*($C$8-$B$8)),$D$8-SQRT((1-C680)*($D$8-$B$8)*($D$8-$C$8)))</f>
        <v>9.2112923791784</v>
      </c>
      <c r="E680" s="26" t="n">
        <f aca="true">MAX(0,$E$8+$F$8*_xlfn.NORM.S.INV(RAND()))</f>
        <v>0</v>
      </c>
      <c r="F680" s="27" t="n">
        <f aca="false">1/(1+EXP(-03_Inputs_Assumptions!$B$14*(E680-03_Inputs_Assumptions!$B$5)))</f>
        <v>0.0052201256935584</v>
      </c>
      <c r="G680" s="28" t="n">
        <f aca="false">D680*04_Baseline_PnL!$B$15*F680*04_Baseline_PnL!$B$14</f>
        <v>13749.6299269656</v>
      </c>
      <c r="H680" s="28" t="n">
        <f aca="false">D680*03_Inputs_Assumptions!$B$13*01_Macro_Data!$B$97*($G$8-1)+D680*04_Baseline_PnL!$B$15*04_Baseline_PnL!$B$13*03_Inputs_Assumptions!$B$15*($H$8-1)</f>
        <v>166211.84048653</v>
      </c>
      <c r="I680" s="16" t="n">
        <f aca="false">G680+H680</f>
        <v>179961.470413496</v>
      </c>
    </row>
    <row r="681" customFormat="false" ht="15" hidden="false" customHeight="true" outlineLevel="0" collapsed="false">
      <c r="A681" s="4" t="s">
        <v>304</v>
      </c>
      <c r="B681" s="4" t="n">
        <v>71</v>
      </c>
      <c r="C681" s="24" t="n">
        <f aca="true">RAND()</f>
        <v>0.791634127430297</v>
      </c>
      <c r="D681" s="25" t="n">
        <f aca="false">IF(C681&lt;(($C$8-$B$8)/($D$8-$B$8)),$B$8+SQRT(C681*($D$8-$B$8)*($C$8-$B$8)),$D$8-SQRT((1-C681)*($D$8-$B$8)*($D$8-$C$8)))</f>
        <v>11.9171982897064</v>
      </c>
      <c r="E681" s="26" t="n">
        <f aca="true">MAX(0,$E$8+$F$8*_xlfn.NORM.S.INV(RAND()))</f>
        <v>0.580572829117789</v>
      </c>
      <c r="F681" s="27" t="n">
        <f aca="false">1/(1+EXP(-03_Inputs_Assumptions!$B$14*(E681-03_Inputs_Assumptions!$B$5)))</f>
        <v>0.0060306187048933</v>
      </c>
      <c r="G681" s="28" t="n">
        <f aca="false">D681*04_Baseline_PnL!$B$15*F681*04_Baseline_PnL!$B$14</f>
        <v>20550.6478451863</v>
      </c>
      <c r="H681" s="28" t="n">
        <f aca="false">D681*03_Inputs_Assumptions!$B$13*01_Macro_Data!$B$97*($G$8-1)+D681*04_Baseline_PnL!$B$15*04_Baseline_PnL!$B$13*03_Inputs_Assumptions!$B$15*($H$8-1)</f>
        <v>215038.170501728</v>
      </c>
      <c r="I681" s="16" t="n">
        <f aca="false">G681+H681</f>
        <v>235588.818346914</v>
      </c>
    </row>
    <row r="682" customFormat="false" ht="15" hidden="false" customHeight="true" outlineLevel="0" collapsed="false">
      <c r="A682" s="4" t="s">
        <v>304</v>
      </c>
      <c r="B682" s="4" t="n">
        <v>72</v>
      </c>
      <c r="C682" s="24" t="n">
        <f aca="true">RAND()</f>
        <v>0.909674415420941</v>
      </c>
      <c r="D682" s="25" t="n">
        <f aca="false">IF(C682&lt;(($C$8-$B$8)/($D$8-$B$8)),$B$8+SQRT(C682*($D$8-$B$8)*($C$8-$B$8)),$D$8-SQRT((1-C682)*($D$8-$B$8)*($D$8-$C$8)))</f>
        <v>13.3118692802758</v>
      </c>
      <c r="E682" s="26" t="n">
        <f aca="true">MAX(0,$E$8+$F$8*_xlfn.NORM.S.INV(RAND()))</f>
        <v>0.0215255223615555</v>
      </c>
      <c r="F682" s="27" t="n">
        <f aca="false">1/(1+EXP(-03_Inputs_Assumptions!$B$14*(E682-03_Inputs_Assumptions!$B$5)))</f>
        <v>0.00524814507231874</v>
      </c>
      <c r="G682" s="28" t="n">
        <f aca="false">D682*04_Baseline_PnL!$B$15*F682*04_Baseline_PnL!$B$14</f>
        <v>19977.1880199922</v>
      </c>
      <c r="H682" s="28" t="n">
        <f aca="false">D682*03_Inputs_Assumptions!$B$13*01_Macro_Data!$B$97*($G$8-1)+D682*04_Baseline_PnL!$B$15*04_Baseline_PnL!$B$13*03_Inputs_Assumptions!$B$15*($H$8-1)</f>
        <v>240204.110597139</v>
      </c>
      <c r="I682" s="16" t="n">
        <f aca="false">G682+H682</f>
        <v>260181.298617131</v>
      </c>
    </row>
    <row r="683" customFormat="false" ht="15" hidden="false" customHeight="true" outlineLevel="0" collapsed="false">
      <c r="A683" s="4" t="s">
        <v>304</v>
      </c>
      <c r="B683" s="4" t="n">
        <v>73</v>
      </c>
      <c r="C683" s="24" t="n">
        <f aca="true">RAND()</f>
        <v>0.435591523221399</v>
      </c>
      <c r="D683" s="25" t="n">
        <f aca="false">IF(C683&lt;(($C$8-$B$8)/($D$8-$B$8)),$B$8+SQRT(C683*($D$8-$B$8)*($C$8-$B$8)),$D$8-SQRT((1-C683)*($D$8-$B$8)*($D$8-$C$8)))</f>
        <v>9.28042574694735</v>
      </c>
      <c r="E683" s="26" t="n">
        <f aca="true">MAX(0,$E$8+$F$8*_xlfn.NORM.S.INV(RAND()))</f>
        <v>0.102231355167259</v>
      </c>
      <c r="F683" s="27" t="n">
        <f aca="false">1/(1+EXP(-03_Inputs_Assumptions!$B$14*(E683-03_Inputs_Assumptions!$B$5)))</f>
        <v>0.00535453676007152</v>
      </c>
      <c r="G683" s="28" t="n">
        <f aca="false">D683*04_Baseline_PnL!$B$15*F683*04_Baseline_PnL!$B$14</f>
        <v>14209.5160194108</v>
      </c>
      <c r="H683" s="28" t="n">
        <f aca="false">D683*03_Inputs_Assumptions!$B$13*01_Macro_Data!$B$97*($G$8-1)+D683*04_Baseline_PnL!$B$15*04_Baseline_PnL!$B$13*03_Inputs_Assumptions!$B$15*($H$8-1)</f>
        <v>167459.307597864</v>
      </c>
      <c r="I683" s="16" t="n">
        <f aca="false">G683+H683</f>
        <v>181668.823617275</v>
      </c>
    </row>
    <row r="684" customFormat="false" ht="15" hidden="false" customHeight="true" outlineLevel="0" collapsed="false">
      <c r="A684" s="4" t="s">
        <v>304</v>
      </c>
      <c r="B684" s="4" t="n">
        <v>74</v>
      </c>
      <c r="C684" s="24" t="n">
        <f aca="true">RAND()</f>
        <v>0.573873221454456</v>
      </c>
      <c r="D684" s="25" t="n">
        <f aca="false">IF(C684&lt;(($C$8-$B$8)/($D$8-$B$8)),$B$8+SQRT(C684*($D$8-$B$8)*($C$8-$B$8)),$D$8-SQRT((1-C684)*($D$8-$B$8)*($D$8-$C$8)))</f>
        <v>10.161323584609</v>
      </c>
      <c r="E684" s="26" t="n">
        <f aca="true">MAX(0,$E$8+$F$8*_xlfn.NORM.S.INV(RAND()))</f>
        <v>0</v>
      </c>
      <c r="F684" s="27" t="n">
        <f aca="false">1/(1+EXP(-03_Inputs_Assumptions!$B$14*(E684-03_Inputs_Assumptions!$B$5)))</f>
        <v>0.0052201256935584</v>
      </c>
      <c r="G684" s="28" t="n">
        <f aca="false">D684*04_Baseline_PnL!$B$15*F684*04_Baseline_PnL!$B$14</f>
        <v>15167.7346788316</v>
      </c>
      <c r="H684" s="28" t="n">
        <f aca="false">D684*03_Inputs_Assumptions!$B$13*01_Macro_Data!$B$97*($G$8-1)+D684*04_Baseline_PnL!$B$15*04_Baseline_PnL!$B$13*03_Inputs_Assumptions!$B$15*($H$8-1)</f>
        <v>183354.54193103</v>
      </c>
      <c r="I684" s="16" t="n">
        <f aca="false">G684+H684</f>
        <v>198522.276609861</v>
      </c>
    </row>
    <row r="685" customFormat="false" ht="15" hidden="false" customHeight="true" outlineLevel="0" collapsed="false">
      <c r="A685" s="4" t="s">
        <v>304</v>
      </c>
      <c r="B685" s="4" t="n">
        <v>75</v>
      </c>
      <c r="C685" s="24" t="n">
        <f aca="true">RAND()</f>
        <v>0.434745815167341</v>
      </c>
      <c r="D685" s="25" t="n">
        <f aca="false">IF(C685&lt;(($C$8-$B$8)/($D$8-$B$8)),$B$8+SQRT(C685*($D$8-$B$8)*($C$8-$B$8)),$D$8-SQRT((1-C685)*($D$8-$B$8)*($D$8-$C$8)))</f>
        <v>9.27539333591825</v>
      </c>
      <c r="E685" s="26" t="n">
        <f aca="true">MAX(0,$E$8+$F$8*_xlfn.NORM.S.INV(RAND()))</f>
        <v>0.418480113265731</v>
      </c>
      <c r="F685" s="27" t="n">
        <f aca="false">1/(1+EXP(-03_Inputs_Assumptions!$B$14*(E685-03_Inputs_Assumptions!$B$5)))</f>
        <v>0.00579251145097425</v>
      </c>
      <c r="G685" s="28" t="n">
        <f aca="false">D685*04_Baseline_PnL!$B$15*F685*04_Baseline_PnL!$B$14</f>
        <v>15363.4488126069</v>
      </c>
      <c r="H685" s="28" t="n">
        <f aca="false">D685*03_Inputs_Assumptions!$B$13*01_Macro_Data!$B$97*($G$8-1)+D685*04_Baseline_PnL!$B$15*04_Baseline_PnL!$B$13*03_Inputs_Assumptions!$B$15*($H$8-1)</f>
        <v>167368.500980856</v>
      </c>
      <c r="I685" s="16" t="n">
        <f aca="false">G685+H685</f>
        <v>182731.949793462</v>
      </c>
    </row>
    <row r="686" customFormat="false" ht="15" hidden="false" customHeight="true" outlineLevel="0" collapsed="false">
      <c r="A686" s="4" t="s">
        <v>304</v>
      </c>
      <c r="B686" s="4" t="n">
        <v>76</v>
      </c>
      <c r="C686" s="24" t="n">
        <f aca="true">RAND()</f>
        <v>0.88958461144653</v>
      </c>
      <c r="D686" s="25" t="n">
        <f aca="false">IF(C686&lt;(($C$8-$B$8)/($D$8-$B$8)),$B$8+SQRT(C686*($D$8-$B$8)*($C$8-$B$8)),$D$8-SQRT((1-C686)*($D$8-$B$8)*($D$8-$C$8)))</f>
        <v>13.0279247848889</v>
      </c>
      <c r="E686" s="26" t="n">
        <f aca="true">MAX(0,$E$8+$F$8*_xlfn.NORM.S.INV(RAND()))</f>
        <v>0.0986639308045498</v>
      </c>
      <c r="F686" s="27" t="n">
        <f aca="false">1/(1+EXP(-03_Inputs_Assumptions!$B$14*(E686-03_Inputs_Assumptions!$B$5)))</f>
        <v>0.00534978894913597</v>
      </c>
      <c r="G686" s="28" t="n">
        <f aca="false">D686*04_Baseline_PnL!$B$15*F686*04_Baseline_PnL!$B$14</f>
        <v>19929.7280733965</v>
      </c>
      <c r="H686" s="28" t="n">
        <f aca="false">D686*03_Inputs_Assumptions!$B$13*01_Macro_Data!$B$97*($G$8-1)+D686*04_Baseline_PnL!$B$15*04_Baseline_PnL!$B$13*03_Inputs_Assumptions!$B$15*($H$8-1)</f>
        <v>235080.514989538</v>
      </c>
      <c r="I686" s="16" t="n">
        <f aca="false">G686+H686</f>
        <v>255010.243062935</v>
      </c>
    </row>
    <row r="687" customFormat="false" ht="15" hidden="false" customHeight="true" outlineLevel="0" collapsed="false">
      <c r="A687" s="4" t="s">
        <v>304</v>
      </c>
      <c r="B687" s="4" t="n">
        <v>77</v>
      </c>
      <c r="C687" s="24" t="n">
        <f aca="true">RAND()</f>
        <v>0.470816482197868</v>
      </c>
      <c r="D687" s="25" t="n">
        <f aca="false">IF(C687&lt;(($C$8-$B$8)/($D$8-$B$8)),$B$8+SQRT(C687*($D$8-$B$8)*($C$8-$B$8)),$D$8-SQRT((1-C687)*($D$8-$B$8)*($D$8-$C$8)))</f>
        <v>9.49348930499837</v>
      </c>
      <c r="E687" s="26" t="n">
        <f aca="true">MAX(0,$E$8+$F$8*_xlfn.NORM.S.INV(RAND()))</f>
        <v>0</v>
      </c>
      <c r="F687" s="27" t="n">
        <f aca="false">1/(1+EXP(-03_Inputs_Assumptions!$B$14*(E687-03_Inputs_Assumptions!$B$5)))</f>
        <v>0.0052201256935584</v>
      </c>
      <c r="G687" s="28" t="n">
        <f aca="false">D687*04_Baseline_PnL!$B$15*F687*04_Baseline_PnL!$B$14</f>
        <v>14170.8632498078</v>
      </c>
      <c r="H687" s="28" t="n">
        <f aca="false">D687*03_Inputs_Assumptions!$B$13*01_Macro_Data!$B$97*($G$8-1)+D687*04_Baseline_PnL!$B$15*04_Baseline_PnL!$B$13*03_Inputs_Assumptions!$B$15*($H$8-1)</f>
        <v>171303.90232643</v>
      </c>
      <c r="I687" s="16" t="n">
        <f aca="false">G687+H687</f>
        <v>185474.765576238</v>
      </c>
    </row>
    <row r="688" customFormat="false" ht="15" hidden="false" customHeight="true" outlineLevel="0" collapsed="false">
      <c r="A688" s="4" t="s">
        <v>304</v>
      </c>
      <c r="B688" s="4" t="n">
        <v>78</v>
      </c>
      <c r="C688" s="24" t="n">
        <f aca="true">RAND()</f>
        <v>0.746029329456714</v>
      </c>
      <c r="D688" s="25" t="n">
        <f aca="false">IF(C688&lt;(($C$8-$B$8)/($D$8-$B$8)),$B$8+SQRT(C688*($D$8-$B$8)*($C$8-$B$8)),$D$8-SQRT((1-C688)*($D$8-$B$8)*($D$8-$C$8)))</f>
        <v>11.4924891965229</v>
      </c>
      <c r="E688" s="26" t="n">
        <f aca="true">MAX(0,$E$8+$F$8*_xlfn.NORM.S.INV(RAND()))</f>
        <v>0</v>
      </c>
      <c r="F688" s="27" t="n">
        <f aca="false">1/(1+EXP(-03_Inputs_Assumptions!$B$14*(E688-03_Inputs_Assumptions!$B$5)))</f>
        <v>0.0052201256935584</v>
      </c>
      <c r="G688" s="28" t="n">
        <f aca="false">D688*04_Baseline_PnL!$B$15*F688*04_Baseline_PnL!$B$14</f>
        <v>17154.7560197991</v>
      </c>
      <c r="H688" s="28" t="n">
        <f aca="false">D688*03_Inputs_Assumptions!$B$13*01_Macro_Data!$B$97*($G$8-1)+D688*04_Baseline_PnL!$B$15*04_Baseline_PnL!$B$13*03_Inputs_Assumptions!$B$15*($H$8-1)</f>
        <v>207374.568355197</v>
      </c>
      <c r="I688" s="16" t="n">
        <f aca="false">G688+H688</f>
        <v>224529.324374996</v>
      </c>
    </row>
    <row r="689" customFormat="false" ht="15" hidden="false" customHeight="true" outlineLevel="0" collapsed="false">
      <c r="A689" s="4" t="s">
        <v>304</v>
      </c>
      <c r="B689" s="4" t="n">
        <v>79</v>
      </c>
      <c r="C689" s="24" t="n">
        <f aca="true">RAND()</f>
        <v>0.296673152031437</v>
      </c>
      <c r="D689" s="25" t="n">
        <f aca="false">IF(C689&lt;(($C$8-$B$8)/($D$8-$B$8)),$B$8+SQRT(C689*($D$8-$B$8)*($C$8-$B$8)),$D$8-SQRT((1-C689)*($D$8-$B$8)*($D$8-$C$8)))</f>
        <v>8.49892355474995</v>
      </c>
      <c r="E689" s="26" t="n">
        <f aca="true">MAX(0,$E$8+$F$8*_xlfn.NORM.S.INV(RAND()))</f>
        <v>0.0363290467689825</v>
      </c>
      <c r="F689" s="27" t="n">
        <f aca="false">1/(1+EXP(-03_Inputs_Assumptions!$B$14*(E689-03_Inputs_Assumptions!$B$5)))</f>
        <v>0.00526750131930951</v>
      </c>
      <c r="G689" s="28" t="n">
        <f aca="false">D689*04_Baseline_PnL!$B$15*F689*04_Baseline_PnL!$B$14</f>
        <v>12801.4173676117</v>
      </c>
      <c r="H689" s="28" t="n">
        <f aca="false">D689*03_Inputs_Assumptions!$B$13*01_Macro_Data!$B$97*($G$8-1)+D689*04_Baseline_PnL!$B$15*04_Baseline_PnL!$B$13*03_Inputs_Assumptions!$B$15*($H$8-1)</f>
        <v>153357.603693317</v>
      </c>
      <c r="I689" s="16" t="n">
        <f aca="false">G689+H689</f>
        <v>166159.021060929</v>
      </c>
    </row>
    <row r="690" customFormat="false" ht="15" hidden="false" customHeight="true" outlineLevel="0" collapsed="false">
      <c r="A690" s="4" t="s">
        <v>304</v>
      </c>
      <c r="B690" s="4" t="n">
        <v>80</v>
      </c>
      <c r="C690" s="24" t="n">
        <f aca="true">RAND()</f>
        <v>0.472906996237347</v>
      </c>
      <c r="D690" s="25" t="n">
        <f aca="false">IF(C690&lt;(($C$8-$B$8)/($D$8-$B$8)),$B$8+SQRT(C690*($D$8-$B$8)*($C$8-$B$8)),$D$8-SQRT((1-C690)*($D$8-$B$8)*($D$8-$C$8)))</f>
        <v>9.50635385157058</v>
      </c>
      <c r="E690" s="26" t="n">
        <f aca="true">MAX(0,$E$8+$F$8*_xlfn.NORM.S.INV(RAND()))</f>
        <v>0.153661976327232</v>
      </c>
      <c r="F690" s="27" t="n">
        <f aca="false">1/(1+EXP(-03_Inputs_Assumptions!$B$14*(E690-03_Inputs_Assumptions!$B$5)))</f>
        <v>0.0054234522571364</v>
      </c>
      <c r="G690" s="28" t="n">
        <f aca="false">D690*04_Baseline_PnL!$B$15*F690*04_Baseline_PnL!$B$14</f>
        <v>14742.7763913015</v>
      </c>
      <c r="H690" s="28" t="n">
        <f aca="false">D690*03_Inputs_Assumptions!$B$13*01_Macro_Data!$B$97*($G$8-1)+D690*04_Baseline_PnL!$B$15*04_Baseline_PnL!$B$13*03_Inputs_Assumptions!$B$15*($H$8-1)</f>
        <v>171536.03478676</v>
      </c>
      <c r="I690" s="16" t="n">
        <f aca="false">G690+H690</f>
        <v>186278.811178061</v>
      </c>
    </row>
    <row r="691" customFormat="false" ht="15" hidden="false" customHeight="true" outlineLevel="0" collapsed="false">
      <c r="A691" s="4" t="s">
        <v>304</v>
      </c>
      <c r="B691" s="4" t="n">
        <v>81</v>
      </c>
      <c r="C691" s="24" t="n">
        <f aca="true">RAND()</f>
        <v>0.0408091124478999</v>
      </c>
      <c r="D691" s="25" t="n">
        <f aca="false">IF(C691&lt;(($C$8-$B$8)/($D$8-$B$8)),$B$8+SQRT(C691*($D$8-$B$8)*($C$8-$B$8)),$D$8-SQRT((1-C691)*($D$8-$B$8)*($D$8-$C$8)))</f>
        <v>6.90342805411278</v>
      </c>
      <c r="E691" s="26" t="n">
        <f aca="true">MAX(0,$E$8+$F$8*_xlfn.NORM.S.INV(RAND()))</f>
        <v>0.536901364394935</v>
      </c>
      <c r="F691" s="27" t="n">
        <f aca="false">1/(1+EXP(-03_Inputs_Assumptions!$B$14*(E691-03_Inputs_Assumptions!$B$5)))</f>
        <v>0.00596552597941205</v>
      </c>
      <c r="G691" s="28" t="n">
        <f aca="false">D691*04_Baseline_PnL!$B$15*F691*04_Baseline_PnL!$B$14</f>
        <v>11776.1417788195</v>
      </c>
      <c r="H691" s="28" t="n">
        <f aca="false">D691*03_Inputs_Assumptions!$B$13*01_Macro_Data!$B$97*($G$8-1)+D691*04_Baseline_PnL!$B$15*04_Baseline_PnL!$B$13*03_Inputs_Assumptions!$B$15*($H$8-1)</f>
        <v>124567.914610346</v>
      </c>
      <c r="I691" s="16" t="n">
        <f aca="false">G691+H691</f>
        <v>136344.056389166</v>
      </c>
    </row>
    <row r="692" customFormat="false" ht="15" hidden="false" customHeight="true" outlineLevel="0" collapsed="false">
      <c r="A692" s="4" t="s">
        <v>304</v>
      </c>
      <c r="B692" s="4" t="n">
        <v>82</v>
      </c>
      <c r="C692" s="24" t="n">
        <f aca="true">RAND()</f>
        <v>0.0704765583944986</v>
      </c>
      <c r="D692" s="25" t="n">
        <f aca="false">IF(C692&lt;(($C$8-$B$8)/($D$8-$B$8)),$B$8+SQRT(C692*($D$8-$B$8)*($C$8-$B$8)),$D$8-SQRT((1-C692)*($D$8-$B$8)*($D$8-$C$8)))</f>
        <v>7.18723677835972</v>
      </c>
      <c r="E692" s="26" t="n">
        <f aca="true">MAX(0,$E$8+$F$8*_xlfn.NORM.S.INV(RAND()))</f>
        <v>0</v>
      </c>
      <c r="F692" s="27" t="n">
        <f aca="false">1/(1+EXP(-03_Inputs_Assumptions!$B$14*(E692-03_Inputs_Assumptions!$B$5)))</f>
        <v>0.0052201256935584</v>
      </c>
      <c r="G692" s="28" t="n">
        <f aca="false">D692*04_Baseline_PnL!$B$15*F692*04_Baseline_PnL!$B$14</f>
        <v>10728.3366798023</v>
      </c>
      <c r="H692" s="28" t="n">
        <f aca="false">D692*03_Inputs_Assumptions!$B$13*01_Macro_Data!$B$97*($G$8-1)+D692*04_Baseline_PnL!$B$15*04_Baseline_PnL!$B$13*03_Inputs_Assumptions!$B$15*($H$8-1)</f>
        <v>129689.060315139</v>
      </c>
      <c r="I692" s="16" t="n">
        <f aca="false">G692+H692</f>
        <v>140417.396994941</v>
      </c>
    </row>
    <row r="693" customFormat="false" ht="15" hidden="false" customHeight="true" outlineLevel="0" collapsed="false">
      <c r="A693" s="4" t="s">
        <v>304</v>
      </c>
      <c r="B693" s="4" t="n">
        <v>83</v>
      </c>
      <c r="C693" s="24" t="n">
        <f aca="true">RAND()</f>
        <v>0.34916327454779</v>
      </c>
      <c r="D693" s="25" t="n">
        <f aca="false">IF(C693&lt;(($C$8-$B$8)/($D$8-$B$8)),$B$8+SQRT(C693*($D$8-$B$8)*($C$8-$B$8)),$D$8-SQRT((1-C693)*($D$8-$B$8)*($D$8-$C$8)))</f>
        <v>8.78425762404333</v>
      </c>
      <c r="E693" s="26" t="n">
        <f aca="true">MAX(0,$E$8+$F$8*_xlfn.NORM.S.INV(RAND()))</f>
        <v>0</v>
      </c>
      <c r="F693" s="27" t="n">
        <f aca="false">1/(1+EXP(-03_Inputs_Assumptions!$B$14*(E693-03_Inputs_Assumptions!$B$5)))</f>
        <v>0.0052201256935584</v>
      </c>
      <c r="G693" s="28" t="n">
        <f aca="false">D693*04_Baseline_PnL!$B$15*F693*04_Baseline_PnL!$B$14</f>
        <v>13112.1982173467</v>
      </c>
      <c r="H693" s="28" t="n">
        <f aca="false">D693*03_Inputs_Assumptions!$B$13*01_Macro_Data!$B$97*($G$8-1)+D693*04_Baseline_PnL!$B$15*04_Baseline_PnL!$B$13*03_Inputs_Assumptions!$B$15*($H$8-1)</f>
        <v>158506.273267411</v>
      </c>
      <c r="I693" s="16" t="n">
        <f aca="false">G693+H693</f>
        <v>171618.471484758</v>
      </c>
    </row>
    <row r="694" customFormat="false" ht="15" hidden="false" customHeight="true" outlineLevel="0" collapsed="false">
      <c r="A694" s="4" t="s">
        <v>304</v>
      </c>
      <c r="B694" s="4" t="n">
        <v>84</v>
      </c>
      <c r="C694" s="24" t="n">
        <f aca="true">RAND()</f>
        <v>0.906317070324962</v>
      </c>
      <c r="D694" s="25" t="n">
        <f aca="false">IF(C694&lt;(($C$8-$B$8)/($D$8-$B$8)),$B$8+SQRT(C694*($D$8-$B$8)*($C$8-$B$8)),$D$8-SQRT((1-C694)*($D$8-$B$8)*($D$8-$C$8)))</f>
        <v>13.2623670125448</v>
      </c>
      <c r="E694" s="26" t="n">
        <f aca="true">MAX(0,$E$8+$F$8*_xlfn.NORM.S.INV(RAND()))</f>
        <v>0</v>
      </c>
      <c r="F694" s="27" t="n">
        <f aca="false">1/(1+EXP(-03_Inputs_Assumptions!$B$14*(E694-03_Inputs_Assumptions!$B$5)))</f>
        <v>0.0052201256935584</v>
      </c>
      <c r="G694" s="28" t="n">
        <f aca="false">D694*04_Baseline_PnL!$B$15*F694*04_Baseline_PnL!$B$14</f>
        <v>19796.6399145342</v>
      </c>
      <c r="H694" s="28" t="n">
        <f aca="false">D694*03_Inputs_Assumptions!$B$13*01_Macro_Data!$B$97*($G$8-1)+D694*04_Baseline_PnL!$B$15*04_Baseline_PnL!$B$13*03_Inputs_Assumptions!$B$15*($H$8-1)</f>
        <v>239310.874046919</v>
      </c>
      <c r="I694" s="16" t="n">
        <f aca="false">G694+H694</f>
        <v>259107.513961454</v>
      </c>
    </row>
    <row r="695" customFormat="false" ht="15" hidden="false" customHeight="true" outlineLevel="0" collapsed="false">
      <c r="A695" s="4" t="s">
        <v>304</v>
      </c>
      <c r="B695" s="4" t="n">
        <v>85</v>
      </c>
      <c r="C695" s="24" t="n">
        <f aca="true">RAND()</f>
        <v>0.166888684995151</v>
      </c>
      <c r="D695" s="25" t="n">
        <f aca="false">IF(C695&lt;(($C$8-$B$8)/($D$8-$B$8)),$B$8+SQRT(C695*($D$8-$B$8)*($C$8-$B$8)),$D$8-SQRT((1-C695)*($D$8-$B$8)*($D$8-$C$8)))</f>
        <v>7.82695749811073</v>
      </c>
      <c r="E695" s="26" t="n">
        <f aca="true">MAX(0,$E$8+$F$8*_xlfn.NORM.S.INV(RAND()))</f>
        <v>0.156320374486511</v>
      </c>
      <c r="F695" s="27" t="n">
        <f aca="false">1/(1+EXP(-03_Inputs_Assumptions!$B$14*(E695-03_Inputs_Assumptions!$B$5)))</f>
        <v>0.00542703831117721</v>
      </c>
      <c r="G695" s="28" t="n">
        <f aca="false">D695*04_Baseline_PnL!$B$15*F695*04_Baseline_PnL!$B$14</f>
        <v>12146.3374960399</v>
      </c>
      <c r="H695" s="28" t="n">
        <f aca="false">D695*03_Inputs_Assumptions!$B$13*01_Macro_Data!$B$97*($G$8-1)+D695*04_Baseline_PnL!$B$15*04_Baseline_PnL!$B$13*03_Inputs_Assumptions!$B$15*($H$8-1)</f>
        <v>141232.408832393</v>
      </c>
      <c r="I695" s="16" t="n">
        <f aca="false">G695+H695</f>
        <v>153378.746328433</v>
      </c>
    </row>
    <row r="696" customFormat="false" ht="15" hidden="false" customHeight="true" outlineLevel="0" collapsed="false">
      <c r="A696" s="4" t="s">
        <v>304</v>
      </c>
      <c r="B696" s="4" t="n">
        <v>86</v>
      </c>
      <c r="C696" s="24" t="n">
        <f aca="true">RAND()</f>
        <v>0.300275294278538</v>
      </c>
      <c r="D696" s="25" t="n">
        <f aca="false">IF(C696&lt;(($C$8-$B$8)/($D$8-$B$8)),$B$8+SQRT(C696*($D$8-$B$8)*($C$8-$B$8)),$D$8-SQRT((1-C696)*($D$8-$B$8)*($D$8-$C$8)))</f>
        <v>8.51815688097399</v>
      </c>
      <c r="E696" s="26" t="n">
        <f aca="true">MAX(0,$E$8+$F$8*_xlfn.NORM.S.INV(RAND()))</f>
        <v>0</v>
      </c>
      <c r="F696" s="27" t="n">
        <f aca="false">1/(1+EXP(-03_Inputs_Assumptions!$B$14*(E696-03_Inputs_Assumptions!$B$5)))</f>
        <v>0.0052201256935584</v>
      </c>
      <c r="G696" s="28" t="n">
        <f aca="false">D696*04_Baseline_PnL!$B$15*F696*04_Baseline_PnL!$B$14</f>
        <v>12714.9915508029</v>
      </c>
      <c r="H696" s="28" t="n">
        <f aca="false">D696*03_Inputs_Assumptions!$B$13*01_Macro_Data!$B$97*($G$8-1)+D696*04_Baseline_PnL!$B$15*04_Baseline_PnL!$B$13*03_Inputs_Assumptions!$B$15*($H$8-1)</f>
        <v>153704.656682059</v>
      </c>
      <c r="I696" s="16" t="n">
        <f aca="false">G696+H696</f>
        <v>166419.648232862</v>
      </c>
    </row>
    <row r="697" customFormat="false" ht="15" hidden="false" customHeight="true" outlineLevel="0" collapsed="false">
      <c r="A697" s="4" t="s">
        <v>304</v>
      </c>
      <c r="B697" s="4" t="n">
        <v>87</v>
      </c>
      <c r="C697" s="24" t="n">
        <f aca="true">RAND()</f>
        <v>0.312645291588126</v>
      </c>
      <c r="D697" s="25" t="n">
        <f aca="false">IF(C697&lt;(($C$8-$B$8)/($D$8-$B$8)),$B$8+SQRT(C697*($D$8-$B$8)*($C$8-$B$8)),$D$8-SQRT((1-C697)*($D$8-$B$8)*($D$8-$C$8)))</f>
        <v>8.5845851988611</v>
      </c>
      <c r="E697" s="26" t="n">
        <f aca="true">MAX(0,$E$8+$F$8*_xlfn.NORM.S.INV(RAND()))</f>
        <v>0</v>
      </c>
      <c r="F697" s="27" t="n">
        <f aca="false">1/(1+EXP(-03_Inputs_Assumptions!$B$14*(E697-03_Inputs_Assumptions!$B$5)))</f>
        <v>0.0052201256935584</v>
      </c>
      <c r="G697" s="28" t="n">
        <f aca="false">D697*04_Baseline_PnL!$B$15*F697*04_Baseline_PnL!$B$14</f>
        <v>12814.1486234503</v>
      </c>
      <c r="H697" s="28" t="n">
        <f aca="false">D697*03_Inputs_Assumptions!$B$13*01_Macro_Data!$B$97*($G$8-1)+D697*04_Baseline_PnL!$B$15*04_Baseline_PnL!$B$13*03_Inputs_Assumptions!$B$15*($H$8-1)</f>
        <v>154903.312909865</v>
      </c>
      <c r="I697" s="16" t="n">
        <f aca="false">G697+H697</f>
        <v>167717.461533315</v>
      </c>
    </row>
    <row r="698" customFormat="false" ht="15" hidden="false" customHeight="true" outlineLevel="0" collapsed="false">
      <c r="A698" s="4" t="s">
        <v>304</v>
      </c>
      <c r="B698" s="4" t="n">
        <v>88</v>
      </c>
      <c r="C698" s="24" t="n">
        <f aca="true">RAND()</f>
        <v>0.801144684287581</v>
      </c>
      <c r="D698" s="25" t="n">
        <f aca="false">IF(C698&lt;(($C$8-$B$8)/($D$8-$B$8)),$B$8+SQRT(C698*($D$8-$B$8)*($C$8-$B$8)),$D$8-SQRT((1-C698)*($D$8-$B$8)*($D$8-$C$8)))</f>
        <v>12.0114632686919</v>
      </c>
      <c r="E698" s="26" t="n">
        <f aca="true">MAX(0,$E$8+$F$8*_xlfn.NORM.S.INV(RAND()))</f>
        <v>0.585029848029667</v>
      </c>
      <c r="F698" s="27" t="n">
        <f aca="false">1/(1+EXP(-03_Inputs_Assumptions!$B$14*(E698-03_Inputs_Assumptions!$B$5)))</f>
        <v>0.00603730150425146</v>
      </c>
      <c r="G698" s="28" t="n">
        <f aca="false">D698*04_Baseline_PnL!$B$15*F698*04_Baseline_PnL!$B$14</f>
        <v>20736.1565977227</v>
      </c>
      <c r="H698" s="28" t="n">
        <f aca="false">D698*03_Inputs_Assumptions!$B$13*01_Macro_Data!$B$97*($G$8-1)+D698*04_Baseline_PnL!$B$15*04_Baseline_PnL!$B$13*03_Inputs_Assumptions!$B$15*($H$8-1)</f>
        <v>216739.121357009</v>
      </c>
      <c r="I698" s="16" t="n">
        <f aca="false">G698+H698</f>
        <v>237475.277954732</v>
      </c>
    </row>
    <row r="699" customFormat="false" ht="15" hidden="false" customHeight="true" outlineLevel="0" collapsed="false">
      <c r="A699" s="4" t="s">
        <v>304</v>
      </c>
      <c r="B699" s="4" t="n">
        <v>89</v>
      </c>
      <c r="C699" s="24" t="n">
        <f aca="true">RAND()</f>
        <v>0.68556303636323</v>
      </c>
      <c r="D699" s="25" t="n">
        <f aca="false">IF(C699&lt;(($C$8-$B$8)/($D$8-$B$8)),$B$8+SQRT(C699*($D$8-$B$8)*($C$8-$B$8)),$D$8-SQRT((1-C699)*($D$8-$B$8)*($D$8-$C$8)))</f>
        <v>10.9845282284772</v>
      </c>
      <c r="E699" s="26" t="n">
        <f aca="true">MAX(0,$E$8+$F$8*_xlfn.NORM.S.INV(RAND()))</f>
        <v>0</v>
      </c>
      <c r="F699" s="27" t="n">
        <f aca="false">1/(1+EXP(-03_Inputs_Assumptions!$B$14*(E699-03_Inputs_Assumptions!$B$5)))</f>
        <v>0.0052201256935584</v>
      </c>
      <c r="G699" s="28" t="n">
        <f aca="false">D699*04_Baseline_PnL!$B$15*F699*04_Baseline_PnL!$B$14</f>
        <v>16396.5263338369</v>
      </c>
      <c r="H699" s="28" t="n">
        <f aca="false">D699*03_Inputs_Assumptions!$B$13*01_Macro_Data!$B$97*($G$8-1)+D699*04_Baseline_PnL!$B$15*04_Baseline_PnL!$B$13*03_Inputs_Assumptions!$B$15*($H$8-1)</f>
        <v>198208.739726737</v>
      </c>
      <c r="I699" s="16" t="n">
        <f aca="false">G699+H699</f>
        <v>214605.266060574</v>
      </c>
    </row>
    <row r="700" customFormat="false" ht="15" hidden="false" customHeight="true" outlineLevel="0" collapsed="false">
      <c r="A700" s="4" t="s">
        <v>304</v>
      </c>
      <c r="B700" s="4" t="n">
        <v>90</v>
      </c>
      <c r="C700" s="24" t="n">
        <f aca="true">RAND()</f>
        <v>0.516481293612012</v>
      </c>
      <c r="D700" s="25" t="n">
        <f aca="false">IF(C700&lt;(($C$8-$B$8)/($D$8-$B$8)),$B$8+SQRT(C700*($D$8-$B$8)*($C$8-$B$8)),$D$8-SQRT((1-C700)*($D$8-$B$8)*($D$8-$C$8)))</f>
        <v>9.78055496760048</v>
      </c>
      <c r="E700" s="26" t="n">
        <f aca="true">MAX(0,$E$8+$F$8*_xlfn.NORM.S.INV(RAND()))</f>
        <v>0</v>
      </c>
      <c r="F700" s="27" t="n">
        <f aca="false">1/(1+EXP(-03_Inputs_Assumptions!$B$14*(E700-03_Inputs_Assumptions!$B$5)))</f>
        <v>0.0052201256935584</v>
      </c>
      <c r="G700" s="28" t="n">
        <f aca="false">D700*04_Baseline_PnL!$B$15*F700*04_Baseline_PnL!$B$14</f>
        <v>14599.3641010499</v>
      </c>
      <c r="H700" s="28" t="n">
        <f aca="false">D700*03_Inputs_Assumptions!$B$13*01_Macro_Data!$B$97*($G$8-1)+D700*04_Baseline_PnL!$B$15*04_Baseline_PnL!$B$13*03_Inputs_Assumptions!$B$15*($H$8-1)</f>
        <v>176483.817386931</v>
      </c>
      <c r="I700" s="16" t="n">
        <f aca="false">G700+H700</f>
        <v>191083.181487981</v>
      </c>
    </row>
    <row r="701" customFormat="false" ht="15" hidden="false" customHeight="true" outlineLevel="0" collapsed="false">
      <c r="A701" s="4" t="s">
        <v>304</v>
      </c>
      <c r="B701" s="4" t="n">
        <v>91</v>
      </c>
      <c r="C701" s="24" t="n">
        <f aca="true">RAND()</f>
        <v>0.222694480235921</v>
      </c>
      <c r="D701" s="25" t="n">
        <f aca="false">IF(C701&lt;(($C$8-$B$8)/($D$8-$B$8)),$B$8+SQRT(C701*($D$8-$B$8)*($C$8-$B$8)),$D$8-SQRT((1-C701)*($D$8-$B$8)*($D$8-$C$8)))</f>
        <v>8.11428877138363</v>
      </c>
      <c r="E701" s="26" t="n">
        <f aca="true">MAX(0,$E$8+$F$8*_xlfn.NORM.S.INV(RAND()))</f>
        <v>0.201632284199014</v>
      </c>
      <c r="F701" s="27" t="n">
        <f aca="false">1/(1+EXP(-03_Inputs_Assumptions!$B$14*(E701-03_Inputs_Assumptions!$B$5)))</f>
        <v>0.00548852586584058</v>
      </c>
      <c r="G701" s="28" t="n">
        <f aca="false">D701*04_Baseline_PnL!$B$15*F701*04_Baseline_PnL!$B$14</f>
        <v>12734.9034243155</v>
      </c>
      <c r="H701" s="28" t="n">
        <f aca="false">D701*03_Inputs_Assumptions!$B$13*01_Macro_Data!$B$97*($G$8-1)+D701*04_Baseline_PnL!$B$15*04_Baseline_PnL!$B$13*03_Inputs_Assumptions!$B$15*($H$8-1)</f>
        <v>146417.11666644</v>
      </c>
      <c r="I701" s="16" t="n">
        <f aca="false">G701+H701</f>
        <v>159152.020090756</v>
      </c>
    </row>
    <row r="702" customFormat="false" ht="15" hidden="false" customHeight="true" outlineLevel="0" collapsed="false">
      <c r="A702" s="4" t="s">
        <v>304</v>
      </c>
      <c r="B702" s="4" t="n">
        <v>92</v>
      </c>
      <c r="C702" s="24" t="n">
        <f aca="true">RAND()</f>
        <v>0.542612134078271</v>
      </c>
      <c r="D702" s="25" t="n">
        <f aca="false">IF(C702&lt;(($C$8-$B$8)/($D$8-$B$8)),$B$8+SQRT(C702*($D$8-$B$8)*($C$8-$B$8)),$D$8-SQRT((1-C702)*($D$8-$B$8)*($D$8-$C$8)))</f>
        <v>9.95094806818967</v>
      </c>
      <c r="E702" s="26" t="n">
        <f aca="true">MAX(0,$E$8+$F$8*_xlfn.NORM.S.INV(RAND()))</f>
        <v>0</v>
      </c>
      <c r="F702" s="27" t="n">
        <f aca="false">1/(1+EXP(-03_Inputs_Assumptions!$B$14*(E702-03_Inputs_Assumptions!$B$5)))</f>
        <v>0.0052201256935584</v>
      </c>
      <c r="G702" s="28" t="n">
        <f aca="false">D702*04_Baseline_PnL!$B$15*F702*04_Baseline_PnL!$B$14</f>
        <v>14853.7086575755</v>
      </c>
      <c r="H702" s="28" t="n">
        <f aca="false">D702*03_Inputs_Assumptions!$B$13*01_Macro_Data!$B$97*($G$8-1)+D702*04_Baseline_PnL!$B$15*04_Baseline_PnL!$B$13*03_Inputs_Assumptions!$B$15*($H$8-1)</f>
        <v>179558.45118307</v>
      </c>
      <c r="I702" s="16" t="n">
        <f aca="false">G702+H702</f>
        <v>194412.159840645</v>
      </c>
    </row>
    <row r="703" customFormat="false" ht="15" hidden="false" customHeight="true" outlineLevel="0" collapsed="false">
      <c r="A703" s="4" t="s">
        <v>304</v>
      </c>
      <c r="B703" s="4" t="n">
        <v>93</v>
      </c>
      <c r="C703" s="24" t="n">
        <f aca="true">RAND()</f>
        <v>0.0876157001822719</v>
      </c>
      <c r="D703" s="25" t="n">
        <f aca="false">IF(C703&lt;(($C$8-$B$8)/($D$8-$B$8)),$B$8+SQRT(C703*($D$8-$B$8)*($C$8-$B$8)),$D$8-SQRT((1-C703)*($D$8-$B$8)*($D$8-$C$8)))</f>
        <v>7.32374997776976</v>
      </c>
      <c r="E703" s="26" t="n">
        <f aca="true">MAX(0,$E$8+$F$8*_xlfn.NORM.S.INV(RAND()))</f>
        <v>0</v>
      </c>
      <c r="F703" s="27" t="n">
        <f aca="false">1/(1+EXP(-03_Inputs_Assumptions!$B$14*(E703-03_Inputs_Assumptions!$B$5)))</f>
        <v>0.0052201256935584</v>
      </c>
      <c r="G703" s="28" t="n">
        <f aca="false">D703*04_Baseline_PnL!$B$15*F703*04_Baseline_PnL!$B$14</f>
        <v>10932.1089513542</v>
      </c>
      <c r="H703" s="28" t="n">
        <f aca="false">D703*03_Inputs_Assumptions!$B$13*01_Macro_Data!$B$97*($G$8-1)+D703*04_Baseline_PnL!$B$15*04_Baseline_PnL!$B$13*03_Inputs_Assumptions!$B$15*($H$8-1)</f>
        <v>132152.353107358</v>
      </c>
      <c r="I703" s="16" t="n">
        <f aca="false">G703+H703</f>
        <v>143084.462058712</v>
      </c>
    </row>
    <row r="704" customFormat="false" ht="15" hidden="false" customHeight="true" outlineLevel="0" collapsed="false">
      <c r="A704" s="4" t="s">
        <v>304</v>
      </c>
      <c r="B704" s="4" t="n">
        <v>94</v>
      </c>
      <c r="C704" s="24" t="n">
        <f aca="true">RAND()</f>
        <v>0.314390934499067</v>
      </c>
      <c r="D704" s="25" t="n">
        <f aca="false">IF(C704&lt;(($C$8-$B$8)/($D$8-$B$8)),$B$8+SQRT(C704*($D$8-$B$8)*($C$8-$B$8)),$D$8-SQRT((1-C704)*($D$8-$B$8)*($D$8-$C$8)))</f>
        <v>8.5940074777195</v>
      </c>
      <c r="E704" s="26" t="n">
        <f aca="true">MAX(0,$E$8+$F$8*_xlfn.NORM.S.INV(RAND()))</f>
        <v>0</v>
      </c>
      <c r="F704" s="27" t="n">
        <f aca="false">1/(1+EXP(-03_Inputs_Assumptions!$B$14*(E704-03_Inputs_Assumptions!$B$5)))</f>
        <v>0.0052201256935584</v>
      </c>
      <c r="G704" s="28" t="n">
        <f aca="false">D704*04_Baseline_PnL!$B$15*F704*04_Baseline_PnL!$B$14</f>
        <v>12828.2131913783</v>
      </c>
      <c r="H704" s="28" t="n">
        <f aca="false">D704*03_Inputs_Assumptions!$B$13*01_Macro_Data!$B$97*($G$8-1)+D704*04_Baseline_PnL!$B$15*04_Baseline_PnL!$B$13*03_Inputs_Assumptions!$B$15*($H$8-1)</f>
        <v>155073.33186553</v>
      </c>
      <c r="I704" s="16" t="n">
        <f aca="false">G704+H704</f>
        <v>167901.545056908</v>
      </c>
    </row>
    <row r="705" customFormat="false" ht="15" hidden="false" customHeight="true" outlineLevel="0" collapsed="false">
      <c r="A705" s="4" t="s">
        <v>304</v>
      </c>
      <c r="B705" s="4" t="n">
        <v>95</v>
      </c>
      <c r="C705" s="24" t="n">
        <f aca="true">RAND()</f>
        <v>0.0540949605393562</v>
      </c>
      <c r="D705" s="25" t="n">
        <f aca="false">IF(C705&lt;(($C$8-$B$8)/($D$8-$B$8)),$B$8+SQRT(C705*($D$8-$B$8)*($C$8-$B$8)),$D$8-SQRT((1-C705)*($D$8-$B$8)*($D$8-$C$8)))</f>
        <v>7.04014384139268</v>
      </c>
      <c r="E705" s="26" t="n">
        <f aca="true">MAX(0,$E$8+$F$8*_xlfn.NORM.S.INV(RAND()))</f>
        <v>0</v>
      </c>
      <c r="F705" s="27" t="n">
        <f aca="false">1/(1+EXP(-03_Inputs_Assumptions!$B$14*(E705-03_Inputs_Assumptions!$B$5)))</f>
        <v>0.0052201256935584</v>
      </c>
      <c r="G705" s="28" t="n">
        <f aca="false">D705*04_Baseline_PnL!$B$15*F705*04_Baseline_PnL!$B$14</f>
        <v>10508.7721100424</v>
      </c>
      <c r="H705" s="28" t="n">
        <f aca="false">D705*03_Inputs_Assumptions!$B$13*01_Macro_Data!$B$97*($G$8-1)+D705*04_Baseline_PnL!$B$15*04_Baseline_PnL!$B$13*03_Inputs_Assumptions!$B$15*($H$8-1)</f>
        <v>127034.862970245</v>
      </c>
      <c r="I705" s="16" t="n">
        <f aca="false">G705+H705</f>
        <v>137543.635080287</v>
      </c>
    </row>
    <row r="706" customFormat="false" ht="15" hidden="false" customHeight="true" outlineLevel="0" collapsed="false">
      <c r="A706" s="4" t="s">
        <v>304</v>
      </c>
      <c r="B706" s="4" t="n">
        <v>96</v>
      </c>
      <c r="C706" s="24" t="n">
        <f aca="true">RAND()</f>
        <v>0.689606021541617</v>
      </c>
      <c r="D706" s="25" t="n">
        <f aca="false">IF(C706&lt;(($C$8-$B$8)/($D$8-$B$8)),$B$8+SQRT(C706*($D$8-$B$8)*($C$8-$B$8)),$D$8-SQRT((1-C706)*($D$8-$B$8)*($D$8-$C$8)))</f>
        <v>11.0168766544796</v>
      </c>
      <c r="E706" s="26" t="n">
        <f aca="true">MAX(0,$E$8+$F$8*_xlfn.NORM.S.INV(RAND()))</f>
        <v>0.458177427162151</v>
      </c>
      <c r="F706" s="27" t="n">
        <f aca="false">1/(1+EXP(-03_Inputs_Assumptions!$B$14*(E706-03_Inputs_Assumptions!$B$5)))</f>
        <v>0.0058499464732863</v>
      </c>
      <c r="G706" s="28" t="n">
        <f aca="false">D706*04_Baseline_PnL!$B$15*F706*04_Baseline_PnL!$B$14</f>
        <v>18428.9189766721</v>
      </c>
      <c r="H706" s="28" t="n">
        <f aca="false">D706*03_Inputs_Assumptions!$B$13*01_Macro_Data!$B$97*($G$8-1)+D706*04_Baseline_PnL!$B$15*04_Baseline_PnL!$B$13*03_Inputs_Assumptions!$B$15*($H$8-1)</f>
        <v>198792.446247099</v>
      </c>
      <c r="I706" s="16" t="n">
        <f aca="false">G706+H706</f>
        <v>217221.365223771</v>
      </c>
    </row>
    <row r="707" customFormat="false" ht="15" hidden="false" customHeight="true" outlineLevel="0" collapsed="false">
      <c r="A707" s="4" t="s">
        <v>304</v>
      </c>
      <c r="B707" s="4" t="n">
        <v>97</v>
      </c>
      <c r="C707" s="24" t="n">
        <f aca="true">RAND()</f>
        <v>0.0880035439914593</v>
      </c>
      <c r="D707" s="25" t="n">
        <f aca="false">IF(C707&lt;(($C$8-$B$8)/($D$8-$B$8)),$B$8+SQRT(C707*($D$8-$B$8)*($C$8-$B$8)),$D$8-SQRT((1-C707)*($D$8-$B$8)*($D$8-$C$8)))</f>
        <v>7.32667662971396</v>
      </c>
      <c r="E707" s="26" t="n">
        <f aca="true">MAX(0,$E$8+$F$8*_xlfn.NORM.S.INV(RAND()))</f>
        <v>0.19781767609146</v>
      </c>
      <c r="F707" s="27" t="n">
        <f aca="false">1/(1+EXP(-03_Inputs_Assumptions!$B$14*(E707-03_Inputs_Assumptions!$B$5)))</f>
        <v>0.00548332290382662</v>
      </c>
      <c r="G707" s="28" t="n">
        <f aca="false">D707*04_Baseline_PnL!$B$15*F707*04_Baseline_PnL!$B$14</f>
        <v>11487.8915418497</v>
      </c>
      <c r="H707" s="28" t="n">
        <f aca="false">D707*03_Inputs_Assumptions!$B$13*01_Macro_Data!$B$97*($G$8-1)+D707*04_Baseline_PnL!$B$15*04_Baseline_PnL!$B$13*03_Inputs_Assumptions!$B$15*($H$8-1)</f>
        <v>132205.162657428</v>
      </c>
      <c r="I707" s="16" t="n">
        <f aca="false">G707+H707</f>
        <v>143693.054199277</v>
      </c>
    </row>
    <row r="708" customFormat="false" ht="15" hidden="false" customHeight="true" outlineLevel="0" collapsed="false">
      <c r="A708" s="4" t="s">
        <v>304</v>
      </c>
      <c r="B708" s="4" t="n">
        <v>98</v>
      </c>
      <c r="C708" s="24" t="n">
        <f aca="true">RAND()</f>
        <v>0.598825628338783</v>
      </c>
      <c r="D708" s="25" t="n">
        <f aca="false">IF(C708&lt;(($C$8-$B$8)/($D$8-$B$8)),$B$8+SQRT(C708*($D$8-$B$8)*($C$8-$B$8)),$D$8-SQRT((1-C708)*($D$8-$B$8)*($D$8-$C$8)))</f>
        <v>10.3348477749581</v>
      </c>
      <c r="E708" s="26" t="n">
        <f aca="true">MAX(0,$E$8+$F$8*_xlfn.NORM.S.INV(RAND()))</f>
        <v>0</v>
      </c>
      <c r="F708" s="27" t="n">
        <f aca="false">1/(1+EXP(-03_Inputs_Assumptions!$B$14*(E708-03_Inputs_Assumptions!$B$5)))</f>
        <v>0.0052201256935584</v>
      </c>
      <c r="G708" s="28" t="n">
        <f aca="false">D708*04_Baseline_PnL!$B$15*F708*04_Baseline_PnL!$B$14</f>
        <v>15426.7529905367</v>
      </c>
      <c r="H708" s="28" t="n">
        <f aca="false">D708*03_Inputs_Assumptions!$B$13*01_Macro_Data!$B$97*($G$8-1)+D708*04_Baseline_PnL!$B$15*04_Baseline_PnL!$B$13*03_Inputs_Assumptions!$B$15*($H$8-1)</f>
        <v>186485.674226</v>
      </c>
      <c r="I708" s="16" t="n">
        <f aca="false">G708+H708</f>
        <v>201912.427216537</v>
      </c>
    </row>
    <row r="709" customFormat="false" ht="15" hidden="false" customHeight="true" outlineLevel="0" collapsed="false">
      <c r="A709" s="4" t="s">
        <v>304</v>
      </c>
      <c r="B709" s="4" t="n">
        <v>99</v>
      </c>
      <c r="C709" s="24" t="n">
        <f aca="true">RAND()</f>
        <v>0.992042053211308</v>
      </c>
      <c r="D709" s="25" t="n">
        <f aca="false">IF(C709&lt;(($C$8-$B$8)/($D$8-$B$8)),$B$8+SQRT(C709*($D$8-$B$8)*($C$8-$B$8)),$D$8-SQRT((1-C709)*($D$8-$B$8)*($D$8-$C$8)))</f>
        <v>15.2021054310905</v>
      </c>
      <c r="E709" s="26" t="n">
        <f aca="true">MAX(0,$E$8+$F$8*_xlfn.NORM.S.INV(RAND()))</f>
        <v>0.788054816918809</v>
      </c>
      <c r="F709" s="27" t="n">
        <f aca="false">1/(1+EXP(-03_Inputs_Assumptions!$B$14*(E709-03_Inputs_Assumptions!$B$5)))</f>
        <v>0.00634964618389845</v>
      </c>
      <c r="G709" s="28" t="n">
        <f aca="false">D709*04_Baseline_PnL!$B$15*F709*04_Baseline_PnL!$B$14</f>
        <v>27602.1395698944</v>
      </c>
      <c r="H709" s="28" t="n">
        <f aca="false">D709*03_Inputs_Assumptions!$B$13*01_Macro_Data!$B$97*($G$8-1)+D709*04_Baseline_PnL!$B$15*04_Baseline_PnL!$B$13*03_Inputs_Assumptions!$B$15*($H$8-1)</f>
        <v>274312.204950028</v>
      </c>
      <c r="I709" s="16" t="n">
        <f aca="false">G709+H709</f>
        <v>301914.344519923</v>
      </c>
    </row>
    <row r="710" customFormat="false" ht="15" hidden="false" customHeight="true" outlineLevel="0" collapsed="false">
      <c r="A710" s="4" t="s">
        <v>304</v>
      </c>
      <c r="B710" s="4" t="n">
        <v>100</v>
      </c>
      <c r="C710" s="24" t="n">
        <f aca="true">RAND()</f>
        <v>0.215288870071488</v>
      </c>
      <c r="D710" s="25" t="n">
        <f aca="false">IF(C710&lt;(($C$8-$B$8)/($D$8-$B$8)),$B$8+SQRT(C710*($D$8-$B$8)*($C$8-$B$8)),$D$8-SQRT((1-C710)*($D$8-$B$8)*($D$8-$C$8)))</f>
        <v>8.07681311628452</v>
      </c>
      <c r="E710" s="26" t="n">
        <f aca="true">MAX(0,$E$8+$F$8*_xlfn.NORM.S.INV(RAND()))</f>
        <v>0</v>
      </c>
      <c r="F710" s="27" t="n">
        <f aca="false">1/(1+EXP(-03_Inputs_Assumptions!$B$14*(E710-03_Inputs_Assumptions!$B$5)))</f>
        <v>0.0052201256935584</v>
      </c>
      <c r="G710" s="28" t="n">
        <f aca="false">D710*04_Baseline_PnL!$B$15*F710*04_Baseline_PnL!$B$14</f>
        <v>12056.2008854701</v>
      </c>
      <c r="H710" s="28" t="n">
        <f aca="false">D710*03_Inputs_Assumptions!$B$13*01_Macro_Data!$B$97*($G$8-1)+D710*04_Baseline_PnL!$B$15*04_Baseline_PnL!$B$13*03_Inputs_Assumptions!$B$15*($H$8-1)</f>
        <v>145740.892598085</v>
      </c>
      <c r="I710" s="16" t="n">
        <f aca="false">G710+H710</f>
        <v>157797.093483555</v>
      </c>
    </row>
    <row r="711" customFormat="false" ht="15" hidden="false" customHeight="true" outlineLevel="0" collapsed="false">
      <c r="A711" s="4" t="s">
        <v>304</v>
      </c>
      <c r="B711" s="4" t="n">
        <v>101</v>
      </c>
      <c r="C711" s="24" t="n">
        <f aca="true">RAND()</f>
        <v>0.279915761229453</v>
      </c>
      <c r="D711" s="25" t="n">
        <f aca="false">IF(C711&lt;(($C$8-$B$8)/($D$8-$B$8)),$B$8+SQRT(C711*($D$8-$B$8)*($C$8-$B$8)),$D$8-SQRT((1-C711)*($D$8-$B$8)*($D$8-$C$8)))</f>
        <v>8.41008965127758</v>
      </c>
      <c r="E711" s="26" t="n">
        <f aca="true">MAX(0,$E$8+$F$8*_xlfn.NORM.S.INV(RAND()))</f>
        <v>0.741584155233326</v>
      </c>
      <c r="F711" s="27" t="n">
        <f aca="false">1/(1+EXP(-03_Inputs_Assumptions!$B$14*(E711-03_Inputs_Assumptions!$B$5)))</f>
        <v>0.00627676531631532</v>
      </c>
      <c r="G711" s="28" t="n">
        <f aca="false">D711*04_Baseline_PnL!$B$15*F711*04_Baseline_PnL!$B$14</f>
        <v>15094.7525381438</v>
      </c>
      <c r="H711" s="28" t="n">
        <f aca="false">D711*03_Inputs_Assumptions!$B$13*01_Macro_Data!$B$97*($G$8-1)+D711*04_Baseline_PnL!$B$15*04_Baseline_PnL!$B$13*03_Inputs_Assumptions!$B$15*($H$8-1)</f>
        <v>151754.653098988</v>
      </c>
      <c r="I711" s="16" t="n">
        <f aca="false">G711+H711</f>
        <v>166849.405637131</v>
      </c>
    </row>
    <row r="712" customFormat="false" ht="15" hidden="false" customHeight="true" outlineLevel="0" collapsed="false">
      <c r="A712" s="4" t="s">
        <v>304</v>
      </c>
      <c r="B712" s="4" t="n">
        <v>102</v>
      </c>
      <c r="C712" s="24" t="n">
        <f aca="true">RAND()</f>
        <v>0.759099117740571</v>
      </c>
      <c r="D712" s="25" t="n">
        <f aca="false">IF(C712&lt;(($C$8-$B$8)/($D$8-$B$8)),$B$8+SQRT(C712*($D$8-$B$8)*($C$8-$B$8)),$D$8-SQRT((1-C712)*($D$8-$B$8)*($D$8-$C$8)))</f>
        <v>11.6100033507126</v>
      </c>
      <c r="E712" s="26" t="n">
        <f aca="true">MAX(0,$E$8+$F$8*_xlfn.NORM.S.INV(RAND()))</f>
        <v>0.206964737265015</v>
      </c>
      <c r="F712" s="27" t="n">
        <f aca="false">1/(1+EXP(-03_Inputs_Assumptions!$B$14*(E712-03_Inputs_Assumptions!$B$5)))</f>
        <v>0.00549580733304821</v>
      </c>
      <c r="G712" s="28" t="n">
        <f aca="false">D712*04_Baseline_PnL!$B$15*F712*04_Baseline_PnL!$B$14</f>
        <v>18245.3973349085</v>
      </c>
      <c r="H712" s="28" t="n">
        <f aca="false">D712*03_Inputs_Assumptions!$B$13*01_Macro_Data!$B$97*($G$8-1)+D712*04_Baseline_PnL!$B$15*04_Baseline_PnL!$B$13*03_Inputs_Assumptions!$B$15*($H$8-1)</f>
        <v>209495.035608548</v>
      </c>
      <c r="I712" s="16" t="n">
        <f aca="false">G712+H712</f>
        <v>227740.432943457</v>
      </c>
    </row>
    <row r="713" customFormat="false" ht="15" hidden="false" customHeight="true" outlineLevel="0" collapsed="false">
      <c r="A713" s="4" t="s">
        <v>304</v>
      </c>
      <c r="B713" s="4" t="n">
        <v>103</v>
      </c>
      <c r="C713" s="24" t="n">
        <f aca="true">RAND()</f>
        <v>0.434578542415253</v>
      </c>
      <c r="D713" s="25" t="n">
        <f aca="false">IF(C713&lt;(($C$8-$B$8)/($D$8-$B$8)),$B$8+SQRT(C713*($D$8-$B$8)*($C$8-$B$8)),$D$8-SQRT((1-C713)*($D$8-$B$8)*($D$8-$C$8)))</f>
        <v>9.27439842045489</v>
      </c>
      <c r="E713" s="26" t="n">
        <f aca="true">MAX(0,$E$8+$F$8*_xlfn.NORM.S.INV(RAND()))</f>
        <v>0.53680539472364</v>
      </c>
      <c r="F713" s="27" t="n">
        <f aca="false">1/(1+EXP(-03_Inputs_Assumptions!$B$14*(E713-03_Inputs_Assumptions!$B$5)))</f>
        <v>0.00596538370753675</v>
      </c>
      <c r="G713" s="28" t="n">
        <f aca="false">D713*04_Baseline_PnL!$B$15*F713*04_Baseline_PnL!$B$14</f>
        <v>15820.259898153</v>
      </c>
      <c r="H713" s="28" t="n">
        <f aca="false">D713*03_Inputs_Assumptions!$B$13*01_Macro_Data!$B$97*($G$8-1)+D713*04_Baseline_PnL!$B$15*04_Baseline_PnL!$B$13*03_Inputs_Assumptions!$B$15*($H$8-1)</f>
        <v>167350.548371875</v>
      </c>
      <c r="I713" s="16" t="n">
        <f aca="false">G713+H713</f>
        <v>183170.808270028</v>
      </c>
    </row>
    <row r="714" customFormat="false" ht="15" hidden="false" customHeight="true" outlineLevel="0" collapsed="false">
      <c r="A714" s="4" t="s">
        <v>304</v>
      </c>
      <c r="B714" s="4" t="n">
        <v>104</v>
      </c>
      <c r="C714" s="24" t="n">
        <f aca="true">RAND()</f>
        <v>0.438073629408106</v>
      </c>
      <c r="D714" s="25" t="n">
        <f aca="false">IF(C714&lt;(($C$8-$B$8)/($D$8-$B$8)),$B$8+SQRT(C714*($D$8-$B$8)*($C$8-$B$8)),$D$8-SQRT((1-C714)*($D$8-$B$8)*($D$8-$C$8)))</f>
        <v>9.29521740491524</v>
      </c>
      <c r="E714" s="26" t="n">
        <f aca="true">MAX(0,$E$8+$F$8*_xlfn.NORM.S.INV(RAND()))</f>
        <v>0</v>
      </c>
      <c r="F714" s="27" t="n">
        <f aca="false">1/(1+EXP(-03_Inputs_Assumptions!$B$14*(E714-03_Inputs_Assumptions!$B$5)))</f>
        <v>0.0052201256935584</v>
      </c>
      <c r="G714" s="28" t="n">
        <f aca="false">D714*04_Baseline_PnL!$B$15*F714*04_Baseline_PnL!$B$14</f>
        <v>13874.9042096603</v>
      </c>
      <c r="H714" s="28" t="n">
        <f aca="false">D714*03_Inputs_Assumptions!$B$13*01_Macro_Data!$B$97*($G$8-1)+D714*04_Baseline_PnL!$B$15*04_Baseline_PnL!$B$13*03_Inputs_Assumptions!$B$15*($H$8-1)</f>
        <v>167726.213542599</v>
      </c>
      <c r="I714" s="16" t="n">
        <f aca="false">G714+H714</f>
        <v>181601.117752259</v>
      </c>
    </row>
    <row r="715" customFormat="false" ht="15" hidden="false" customHeight="true" outlineLevel="0" collapsed="false">
      <c r="A715" s="4" t="s">
        <v>304</v>
      </c>
      <c r="B715" s="4" t="n">
        <v>105</v>
      </c>
      <c r="C715" s="24" t="n">
        <f aca="true">RAND()</f>
        <v>0.881884327008944</v>
      </c>
      <c r="D715" s="25" t="n">
        <f aca="false">IF(C715&lt;(($C$8-$B$8)/($D$8-$B$8)),$B$8+SQRT(C715*($D$8-$B$8)*($C$8-$B$8)),$D$8-SQRT((1-C715)*($D$8-$B$8)*($D$8-$C$8)))</f>
        <v>12.9260361356573</v>
      </c>
      <c r="E715" s="26" t="n">
        <f aca="true">MAX(0,$E$8+$F$8*_xlfn.NORM.S.INV(RAND()))</f>
        <v>0</v>
      </c>
      <c r="F715" s="27" t="n">
        <f aca="false">1/(1+EXP(-03_Inputs_Assumptions!$B$14*(E715-03_Inputs_Assumptions!$B$5)))</f>
        <v>0.0052201256935584</v>
      </c>
      <c r="G715" s="28" t="n">
        <f aca="false">D715*04_Baseline_PnL!$B$15*F715*04_Baseline_PnL!$B$14</f>
        <v>19294.6012320289</v>
      </c>
      <c r="H715" s="28" t="n">
        <f aca="false">D715*03_Inputs_Assumptions!$B$13*01_Macro_Data!$B$97*($G$8-1)+D715*04_Baseline_PnL!$B$15*04_Baseline_PnL!$B$13*03_Inputs_Assumptions!$B$15*($H$8-1)</f>
        <v>233241.999913006</v>
      </c>
      <c r="I715" s="16" t="n">
        <f aca="false">G715+H715</f>
        <v>252536.601145035</v>
      </c>
    </row>
    <row r="716" customFormat="false" ht="15" hidden="false" customHeight="true" outlineLevel="0" collapsed="false">
      <c r="A716" s="4" t="s">
        <v>304</v>
      </c>
      <c r="B716" s="4" t="n">
        <v>106</v>
      </c>
      <c r="C716" s="24" t="n">
        <f aca="true">RAND()</f>
        <v>0.0989766003361844</v>
      </c>
      <c r="D716" s="25" t="n">
        <f aca="false">IF(C716&lt;(($C$8-$B$8)/($D$8-$B$8)),$B$8+SQRT(C716*($D$8-$B$8)*($C$8-$B$8)),$D$8-SQRT((1-C716)*($D$8-$B$8)*($D$8-$C$8)))</f>
        <v>7.40695842394994</v>
      </c>
      <c r="E716" s="26" t="n">
        <f aca="true">MAX(0,$E$8+$F$8*_xlfn.NORM.S.INV(RAND()))</f>
        <v>0</v>
      </c>
      <c r="F716" s="27" t="n">
        <f aca="false">1/(1+EXP(-03_Inputs_Assumptions!$B$14*(E716-03_Inputs_Assumptions!$B$5)))</f>
        <v>0.0052201256935584</v>
      </c>
      <c r="G716" s="28" t="n">
        <f aca="false">D716*04_Baseline_PnL!$B$15*F716*04_Baseline_PnL!$B$14</f>
        <v>11056.3136008952</v>
      </c>
      <c r="H716" s="28" t="n">
        <f aca="false">D716*03_Inputs_Assumptions!$B$13*01_Macro_Data!$B$97*($G$8-1)+D716*04_Baseline_PnL!$B$15*04_Baseline_PnL!$B$13*03_Inputs_Assumptions!$B$15*($H$8-1)</f>
        <v>133653.795946681</v>
      </c>
      <c r="I716" s="16" t="n">
        <f aca="false">G716+H716</f>
        <v>144710.109547576</v>
      </c>
    </row>
    <row r="717" customFormat="false" ht="15" hidden="false" customHeight="true" outlineLevel="0" collapsed="false">
      <c r="A717" s="4" t="s">
        <v>304</v>
      </c>
      <c r="B717" s="4" t="n">
        <v>107</v>
      </c>
      <c r="C717" s="24" t="n">
        <f aca="true">RAND()</f>
        <v>0.798698152630528</v>
      </c>
      <c r="D717" s="25" t="n">
        <f aca="false">IF(C717&lt;(($C$8-$B$8)/($D$8-$B$8)),$B$8+SQRT(C717*($D$8-$B$8)*($C$8-$B$8)),$D$8-SQRT((1-C717)*($D$8-$B$8)*($D$8-$C$8)))</f>
        <v>11.9870026427173</v>
      </c>
      <c r="E717" s="26" t="n">
        <f aca="true">MAX(0,$E$8+$F$8*_xlfn.NORM.S.INV(RAND()))</f>
        <v>0.46320485596294</v>
      </c>
      <c r="F717" s="27" t="n">
        <f aca="false">1/(1+EXP(-03_Inputs_Assumptions!$B$14*(E717-03_Inputs_Assumptions!$B$5)))</f>
        <v>0.00585726055025882</v>
      </c>
      <c r="G717" s="28" t="n">
        <f aca="false">D717*04_Baseline_PnL!$B$15*F717*04_Baseline_PnL!$B$14</f>
        <v>20076.8061461588</v>
      </c>
      <c r="H717" s="28" t="n">
        <f aca="false">D717*03_Inputs_Assumptions!$B$13*01_Macro_Data!$B$97*($G$8-1)+D717*04_Baseline_PnL!$B$15*04_Baseline_PnL!$B$13*03_Inputs_Assumptions!$B$15*($H$8-1)</f>
        <v>216297.745109754</v>
      </c>
      <c r="I717" s="16" t="n">
        <f aca="false">G717+H717</f>
        <v>236374.551255913</v>
      </c>
    </row>
    <row r="718" customFormat="false" ht="15" hidden="false" customHeight="true" outlineLevel="0" collapsed="false">
      <c r="A718" s="4" t="s">
        <v>304</v>
      </c>
      <c r="B718" s="4" t="n">
        <v>108</v>
      </c>
      <c r="C718" s="24" t="n">
        <f aca="true">RAND()</f>
        <v>0.917307411197461</v>
      </c>
      <c r="D718" s="25" t="n">
        <f aca="false">IF(C718&lt;(($C$8-$B$8)/($D$8-$B$8)),$B$8+SQRT(C718*($D$8-$B$8)*($C$8-$B$8)),$D$8-SQRT((1-C718)*($D$8-$B$8)*($D$8-$C$8)))</f>
        <v>13.427956628631</v>
      </c>
      <c r="E718" s="26" t="n">
        <f aca="true">MAX(0,$E$8+$F$8*_xlfn.NORM.S.INV(RAND()))</f>
        <v>0.28961890927566</v>
      </c>
      <c r="F718" s="27" t="n">
        <f aca="false">1/(1+EXP(-03_Inputs_Assumptions!$B$14*(E718-03_Inputs_Assumptions!$B$5)))</f>
        <v>0.00560990790826464</v>
      </c>
      <c r="G718" s="28" t="n">
        <f aca="false">D718*04_Baseline_PnL!$B$15*F718*04_Baseline_PnL!$B$14</f>
        <v>21540.4684106461</v>
      </c>
      <c r="H718" s="28" t="n">
        <f aca="false">D718*03_Inputs_Assumptions!$B$13*01_Macro_Data!$B$97*($G$8-1)+D718*04_Baseline_PnL!$B$15*04_Baseline_PnL!$B$13*03_Inputs_Assumptions!$B$15*($H$8-1)</f>
        <v>242298.832057824</v>
      </c>
      <c r="I718" s="16" t="n">
        <f aca="false">G718+H718</f>
        <v>263839.30046847</v>
      </c>
    </row>
    <row r="719" customFormat="false" ht="15" hidden="false" customHeight="true" outlineLevel="0" collapsed="false">
      <c r="A719" s="4" t="s">
        <v>304</v>
      </c>
      <c r="B719" s="4" t="n">
        <v>109</v>
      </c>
      <c r="C719" s="24" t="n">
        <f aca="true">RAND()</f>
        <v>0.373725829995582</v>
      </c>
      <c r="D719" s="25" t="n">
        <f aca="false">IF(C719&lt;(($C$8-$B$8)/($D$8-$B$8)),$B$8+SQRT(C719*($D$8-$B$8)*($C$8-$B$8)),$D$8-SQRT((1-C719)*($D$8-$B$8)*($D$8-$C$8)))</f>
        <v>8.92172806397257</v>
      </c>
      <c r="E719" s="26" t="n">
        <f aca="true">MAX(0,$E$8+$F$8*_xlfn.NORM.S.INV(RAND()))</f>
        <v>0</v>
      </c>
      <c r="F719" s="27" t="n">
        <f aca="false">1/(1+EXP(-03_Inputs_Assumptions!$B$14*(E719-03_Inputs_Assumptions!$B$5)))</f>
        <v>0.0052201256935584</v>
      </c>
      <c r="G719" s="28" t="n">
        <f aca="false">D719*04_Baseline_PnL!$B$15*F719*04_Baseline_PnL!$B$14</f>
        <v>13317.3993549413</v>
      </c>
      <c r="H719" s="28" t="n">
        <f aca="false">D719*03_Inputs_Assumptions!$B$13*01_Macro_Data!$B$97*($G$8-1)+D719*04_Baseline_PnL!$B$15*04_Baseline_PnL!$B$13*03_Inputs_Assumptions!$B$15*($H$8-1)</f>
        <v>160986.8388485</v>
      </c>
      <c r="I719" s="16" t="n">
        <f aca="false">G719+H719</f>
        <v>174304.238203441</v>
      </c>
    </row>
    <row r="720" customFormat="false" ht="15" hidden="false" customHeight="true" outlineLevel="0" collapsed="false">
      <c r="A720" s="4" t="s">
        <v>304</v>
      </c>
      <c r="B720" s="4" t="n">
        <v>110</v>
      </c>
      <c r="C720" s="24" t="n">
        <f aca="true">RAND()</f>
        <v>0.095867038713511</v>
      </c>
      <c r="D720" s="25" t="n">
        <f aca="false">IF(C720&lt;(($C$8-$B$8)/($D$8-$B$8)),$B$8+SQRT(C720*($D$8-$B$8)*($C$8-$B$8)),$D$8-SQRT((1-C720)*($D$8-$B$8)*($D$8-$C$8)))</f>
        <v>7.38468074814024</v>
      </c>
      <c r="E720" s="26" t="n">
        <f aca="true">MAX(0,$E$8+$F$8*_xlfn.NORM.S.INV(RAND()))</f>
        <v>0.189309669673618</v>
      </c>
      <c r="F720" s="27" t="n">
        <f aca="false">1/(1+EXP(-03_Inputs_Assumptions!$B$14*(E720-03_Inputs_Assumptions!$B$5)))</f>
        <v>0.00547173601130772</v>
      </c>
      <c r="G720" s="28" t="n">
        <f aca="false">D720*04_Baseline_PnL!$B$15*F720*04_Baseline_PnL!$B$14</f>
        <v>11554.3719078728</v>
      </c>
      <c r="H720" s="28" t="n">
        <f aca="false">D720*03_Inputs_Assumptions!$B$13*01_Macro_Data!$B$97*($G$8-1)+D720*04_Baseline_PnL!$B$15*04_Baseline_PnL!$B$13*03_Inputs_Assumptions!$B$15*($H$8-1)</f>
        <v>133251.809629705</v>
      </c>
      <c r="I720" s="16" t="n">
        <f aca="false">G720+H720</f>
        <v>144806.181537578</v>
      </c>
    </row>
    <row r="721" customFormat="false" ht="15" hidden="false" customHeight="true" outlineLevel="0" collapsed="false">
      <c r="A721" s="4" t="s">
        <v>304</v>
      </c>
      <c r="B721" s="4" t="n">
        <v>111</v>
      </c>
      <c r="C721" s="24" t="n">
        <f aca="true">RAND()</f>
        <v>0.240427994400784</v>
      </c>
      <c r="D721" s="25" t="n">
        <f aca="false">IF(C721&lt;(($C$8-$B$8)/($D$8-$B$8)),$B$8+SQRT(C721*($D$8-$B$8)*($C$8-$B$8)),$D$8-SQRT((1-C721)*($D$8-$B$8)*($D$8-$C$8)))</f>
        <v>8.20476039829838</v>
      </c>
      <c r="E721" s="26" t="n">
        <f aca="true">MAX(0,$E$8+$F$8*_xlfn.NORM.S.INV(RAND()))</f>
        <v>0</v>
      </c>
      <c r="F721" s="27" t="n">
        <f aca="false">1/(1+EXP(-03_Inputs_Assumptions!$B$14*(E721-03_Inputs_Assumptions!$B$5)))</f>
        <v>0.0052201256935584</v>
      </c>
      <c r="G721" s="28" t="n">
        <f aca="false">D721*04_Baseline_PnL!$B$15*F721*04_Baseline_PnL!$B$14</f>
        <v>12247.1868736934</v>
      </c>
      <c r="H721" s="28" t="n">
        <f aca="false">D721*03_Inputs_Assumptions!$B$13*01_Macro_Data!$B$97*($G$8-1)+D721*04_Baseline_PnL!$B$15*04_Baseline_PnL!$B$13*03_Inputs_Assumptions!$B$15*($H$8-1)</f>
        <v>148049.618925874</v>
      </c>
      <c r="I721" s="16" t="n">
        <f aca="false">G721+H721</f>
        <v>160296.805799567</v>
      </c>
    </row>
    <row r="722" customFormat="false" ht="15" hidden="false" customHeight="true" outlineLevel="0" collapsed="false">
      <c r="A722" s="4" t="s">
        <v>304</v>
      </c>
      <c r="B722" s="4" t="n">
        <v>112</v>
      </c>
      <c r="C722" s="24" t="n">
        <f aca="true">RAND()</f>
        <v>0.922021750890853</v>
      </c>
      <c r="D722" s="25" t="n">
        <f aca="false">IF(C722&lt;(($C$8-$B$8)/($D$8-$B$8)),$B$8+SQRT(C722*($D$8-$B$8)*($C$8-$B$8)),$D$8-SQRT((1-C722)*($D$8-$B$8)*($D$8-$C$8)))</f>
        <v>13.5023491179246</v>
      </c>
      <c r="E722" s="26" t="n">
        <f aca="true">MAX(0,$E$8+$F$8*_xlfn.NORM.S.INV(RAND()))</f>
        <v>0</v>
      </c>
      <c r="F722" s="27" t="n">
        <f aca="false">1/(1+EXP(-03_Inputs_Assumptions!$B$14*(E722-03_Inputs_Assumptions!$B$5)))</f>
        <v>0.0052201256935584</v>
      </c>
      <c r="G722" s="28" t="n">
        <f aca="false">D722*04_Baseline_PnL!$B$15*F722*04_Baseline_PnL!$B$14</f>
        <v>20154.8594783302</v>
      </c>
      <c r="H722" s="28" t="n">
        <f aca="false">D722*03_Inputs_Assumptions!$B$13*01_Macro_Data!$B$97*($G$8-1)+D722*04_Baseline_PnL!$B$15*04_Baseline_PnL!$B$13*03_Inputs_Assumptions!$B$15*($H$8-1)</f>
        <v>243641.196631097</v>
      </c>
      <c r="I722" s="16" t="n">
        <f aca="false">G722+H722</f>
        <v>263796.056109427</v>
      </c>
    </row>
    <row r="723" customFormat="false" ht="15" hidden="false" customHeight="true" outlineLevel="0" collapsed="false">
      <c r="A723" s="4" t="s">
        <v>304</v>
      </c>
      <c r="B723" s="4" t="n">
        <v>113</v>
      </c>
      <c r="C723" s="24" t="n">
        <f aca="true">RAND()</f>
        <v>0.0238086855257649</v>
      </c>
      <c r="D723" s="25" t="n">
        <f aca="false">IF(C723&lt;(($C$8-$B$8)/($D$8-$B$8)),$B$8+SQRT(C723*($D$8-$B$8)*($C$8-$B$8)),$D$8-SQRT((1-C723)*($D$8-$B$8)*($D$8-$C$8)))</f>
        <v>6.69005341134966</v>
      </c>
      <c r="E723" s="26" t="n">
        <f aca="true">MAX(0,$E$8+$F$8*_xlfn.NORM.S.INV(RAND()))</f>
        <v>0.401382483738887</v>
      </c>
      <c r="F723" s="27" t="n">
        <f aca="false">1/(1+EXP(-03_Inputs_Assumptions!$B$14*(E723-03_Inputs_Assumptions!$B$5)))</f>
        <v>0.00576794724518056</v>
      </c>
      <c r="G723" s="28" t="n">
        <f aca="false">D723*04_Baseline_PnL!$B$15*F723*04_Baseline_PnL!$B$14</f>
        <v>11034.1871543459</v>
      </c>
      <c r="H723" s="28" t="n">
        <f aca="false">D723*03_Inputs_Assumptions!$B$13*01_Macro_Data!$B$97*($G$8-1)+D723*04_Baseline_PnL!$B$15*04_Baseline_PnL!$B$13*03_Inputs_Assumptions!$B$15*($H$8-1)</f>
        <v>120717.706558436</v>
      </c>
      <c r="I723" s="16" t="n">
        <f aca="false">G723+H723</f>
        <v>131751.893712782</v>
      </c>
    </row>
    <row r="724" customFormat="false" ht="15" hidden="false" customHeight="true" outlineLevel="0" collapsed="false">
      <c r="A724" s="4" t="s">
        <v>304</v>
      </c>
      <c r="B724" s="4" t="n">
        <v>114</v>
      </c>
      <c r="C724" s="24" t="n">
        <f aca="true">RAND()</f>
        <v>0.838454102373359</v>
      </c>
      <c r="D724" s="25" t="n">
        <f aca="false">IF(C724&lt;(($C$8-$B$8)/($D$8-$B$8)),$B$8+SQRT(C724*($D$8-$B$8)*($C$8-$B$8)),$D$8-SQRT((1-C724)*($D$8-$B$8)*($D$8-$C$8)))</f>
        <v>12.4050491227096</v>
      </c>
      <c r="E724" s="26" t="n">
        <f aca="true">MAX(0,$E$8+$F$8*_xlfn.NORM.S.INV(RAND()))</f>
        <v>0.309673096779195</v>
      </c>
      <c r="F724" s="27" t="n">
        <f aca="false">1/(1+EXP(-03_Inputs_Assumptions!$B$14*(E724-03_Inputs_Assumptions!$B$5)))</f>
        <v>0.0056379450984587</v>
      </c>
      <c r="G724" s="28" t="n">
        <f aca="false">D724*04_Baseline_PnL!$B$15*F724*04_Baseline_PnL!$B$14</f>
        <v>19999.0244836345</v>
      </c>
      <c r="H724" s="28" t="n">
        <f aca="false">D724*03_Inputs_Assumptions!$B$13*01_Macro_Data!$B$97*($G$8-1)+D724*04_Baseline_PnL!$B$15*04_Baseline_PnL!$B$13*03_Inputs_Assumptions!$B$15*($H$8-1)</f>
        <v>223841.124690831</v>
      </c>
      <c r="I724" s="16" t="n">
        <f aca="false">G724+H724</f>
        <v>243840.149174465</v>
      </c>
    </row>
    <row r="725" customFormat="false" ht="15" hidden="false" customHeight="true" outlineLevel="0" collapsed="false">
      <c r="A725" s="4" t="s">
        <v>304</v>
      </c>
      <c r="B725" s="4" t="n">
        <v>115</v>
      </c>
      <c r="C725" s="24" t="n">
        <f aca="true">RAND()</f>
        <v>0.29954454564053</v>
      </c>
      <c r="D725" s="25" t="n">
        <f aca="false">IF(C725&lt;(($C$8-$B$8)/($D$8-$B$8)),$B$8+SQRT(C725*($D$8-$B$8)*($C$8-$B$8)),$D$8-SQRT((1-C725)*($D$8-$B$8)*($D$8-$C$8)))</f>
        <v>8.51425111637068</v>
      </c>
      <c r="E725" s="26" t="n">
        <f aca="true">MAX(0,$E$8+$F$8*_xlfn.NORM.S.INV(RAND()))</f>
        <v>0</v>
      </c>
      <c r="F725" s="27" t="n">
        <f aca="false">1/(1+EXP(-03_Inputs_Assumptions!$B$14*(E725-03_Inputs_Assumptions!$B$5)))</f>
        <v>0.0052201256935584</v>
      </c>
      <c r="G725" s="28" t="n">
        <f aca="false">D725*04_Baseline_PnL!$B$15*F725*04_Baseline_PnL!$B$14</f>
        <v>12709.1614440527</v>
      </c>
      <c r="H725" s="28" t="n">
        <f aca="false">D725*03_Inputs_Assumptions!$B$13*01_Macro_Data!$B$97*($G$8-1)+D725*04_Baseline_PnL!$B$15*04_Baseline_PnL!$B$13*03_Inputs_Assumptions!$B$15*($H$8-1)</f>
        <v>153634.179674437</v>
      </c>
      <c r="I725" s="16" t="n">
        <f aca="false">G725+H725</f>
        <v>166343.341118489</v>
      </c>
    </row>
    <row r="726" customFormat="false" ht="15" hidden="false" customHeight="true" outlineLevel="0" collapsed="false">
      <c r="A726" s="4" t="s">
        <v>304</v>
      </c>
      <c r="B726" s="4" t="n">
        <v>116</v>
      </c>
      <c r="C726" s="24" t="n">
        <f aca="true">RAND()</f>
        <v>0.554419876081339</v>
      </c>
      <c r="D726" s="25" t="n">
        <f aca="false">IF(C726&lt;(($C$8-$B$8)/($D$8-$B$8)),$B$8+SQRT(C726*($D$8-$B$8)*($C$8-$B$8)),$D$8-SQRT((1-C726)*($D$8-$B$8)*($D$8-$C$8)))</f>
        <v>10.0295385510421</v>
      </c>
      <c r="E726" s="26" t="n">
        <f aca="true">MAX(0,$E$8+$F$8*_xlfn.NORM.S.INV(RAND()))</f>
        <v>0.643277325623906</v>
      </c>
      <c r="F726" s="27" t="n">
        <f aca="false">1/(1+EXP(-03_Inputs_Assumptions!$B$14*(E726-03_Inputs_Assumptions!$B$5)))</f>
        <v>0.00612531667418352</v>
      </c>
      <c r="G726" s="28" t="n">
        <f aca="false">D726*04_Baseline_PnL!$B$15*F726*04_Baseline_PnL!$B$14</f>
        <v>17567.0557513071</v>
      </c>
      <c r="H726" s="28" t="n">
        <f aca="false">D726*03_Inputs_Assumptions!$B$13*01_Macro_Data!$B$97*($G$8-1)+D726*04_Baseline_PnL!$B$15*04_Baseline_PnL!$B$13*03_Inputs_Assumptions!$B$15*($H$8-1)</f>
        <v>180976.565847321</v>
      </c>
      <c r="I726" s="16" t="n">
        <f aca="false">G726+H726</f>
        <v>198543.621598628</v>
      </c>
    </row>
    <row r="727" customFormat="false" ht="15" hidden="false" customHeight="true" outlineLevel="0" collapsed="false">
      <c r="A727" s="4" t="s">
        <v>304</v>
      </c>
      <c r="B727" s="4" t="n">
        <v>117</v>
      </c>
      <c r="C727" s="24" t="n">
        <f aca="true">RAND()</f>
        <v>0.293453783965083</v>
      </c>
      <c r="D727" s="25" t="n">
        <f aca="false">IF(C727&lt;(($C$8-$B$8)/($D$8-$B$8)),$B$8+SQRT(C727*($D$8-$B$8)*($C$8-$B$8)),$D$8-SQRT((1-C727)*($D$8-$B$8)*($D$8-$C$8)))</f>
        <v>8.48177565626076</v>
      </c>
      <c r="E727" s="26" t="n">
        <f aca="true">MAX(0,$E$8+$F$8*_xlfn.NORM.S.INV(RAND()))</f>
        <v>0</v>
      </c>
      <c r="F727" s="27" t="n">
        <f aca="false">1/(1+EXP(-03_Inputs_Assumptions!$B$14*(E727-03_Inputs_Assumptions!$B$5)))</f>
        <v>0.0052201256935584</v>
      </c>
      <c r="G727" s="28" t="n">
        <f aca="false">D727*04_Baseline_PnL!$B$15*F727*04_Baseline_PnL!$B$14</f>
        <v>12660.6855581685</v>
      </c>
      <c r="H727" s="28" t="n">
        <f aca="false">D727*03_Inputs_Assumptions!$B$13*01_Macro_Data!$B$97*($G$8-1)+D727*04_Baseline_PnL!$B$15*04_Baseline_PnL!$B$13*03_Inputs_Assumptions!$B$15*($H$8-1)</f>
        <v>153048.180905391</v>
      </c>
      <c r="I727" s="16" t="n">
        <f aca="false">G727+H727</f>
        <v>165708.86646356</v>
      </c>
    </row>
    <row r="728" customFormat="false" ht="15" hidden="false" customHeight="true" outlineLevel="0" collapsed="false">
      <c r="A728" s="4" t="s">
        <v>304</v>
      </c>
      <c r="B728" s="4" t="n">
        <v>118</v>
      </c>
      <c r="C728" s="24" t="n">
        <f aca="true">RAND()</f>
        <v>0.285492768744202</v>
      </c>
      <c r="D728" s="25" t="n">
        <f aca="false">IF(C728&lt;(($C$8-$B$8)/($D$8-$B$8)),$B$8+SQRT(C728*($D$8-$B$8)*($C$8-$B$8)),$D$8-SQRT((1-C728)*($D$8-$B$8)*($D$8-$C$8)))</f>
        <v>8.43953847305181</v>
      </c>
      <c r="E728" s="26" t="n">
        <f aca="true">MAX(0,$E$8+$F$8*_xlfn.NORM.S.INV(RAND()))</f>
        <v>0.113528939104605</v>
      </c>
      <c r="F728" s="27" t="n">
        <f aca="false">1/(1+EXP(-03_Inputs_Assumptions!$B$14*(E728-03_Inputs_Assumptions!$B$5)))</f>
        <v>0.00536960014842137</v>
      </c>
      <c r="G728" s="28" t="n">
        <f aca="false">D728*04_Baseline_PnL!$B$15*F728*04_Baseline_PnL!$B$14</f>
        <v>12958.3625169322</v>
      </c>
      <c r="H728" s="28" t="n">
        <f aca="false">D728*03_Inputs_Assumptions!$B$13*01_Macro_Data!$B$97*($G$8-1)+D728*04_Baseline_PnL!$B$15*04_Baseline_PnL!$B$13*03_Inputs_Assumptions!$B$15*($H$8-1)</f>
        <v>152286.038127903</v>
      </c>
      <c r="I728" s="16" t="n">
        <f aca="false">G728+H728</f>
        <v>165244.400644835</v>
      </c>
    </row>
    <row r="729" customFormat="false" ht="15" hidden="false" customHeight="true" outlineLevel="0" collapsed="false">
      <c r="A729" s="4" t="s">
        <v>304</v>
      </c>
      <c r="B729" s="4" t="n">
        <v>119</v>
      </c>
      <c r="C729" s="24" t="n">
        <f aca="true">RAND()</f>
        <v>0.175715665705515</v>
      </c>
      <c r="D729" s="25" t="n">
        <f aca="false">IF(C729&lt;(($C$8-$B$8)/($D$8-$B$8)),$B$8+SQRT(C729*($D$8-$B$8)*($C$8-$B$8)),$D$8-SQRT((1-C729)*($D$8-$B$8)*($D$8-$C$8)))</f>
        <v>7.87465018446384</v>
      </c>
      <c r="E729" s="26" t="n">
        <f aca="true">MAX(0,$E$8+$F$8*_xlfn.NORM.S.INV(RAND()))</f>
        <v>0.53837442979299</v>
      </c>
      <c r="F729" s="27" t="n">
        <f aca="false">1/(1+EXP(-03_Inputs_Assumptions!$B$14*(E729-03_Inputs_Assumptions!$B$5)))</f>
        <v>0.00596771017356808</v>
      </c>
      <c r="G729" s="28" t="n">
        <f aca="false">D729*04_Baseline_PnL!$B$15*F729*04_Baseline_PnL!$B$14</f>
        <v>13437.8093314685</v>
      </c>
      <c r="H729" s="28" t="n">
        <f aca="false">D729*03_Inputs_Assumptions!$B$13*01_Macro_Data!$B$97*($G$8-1)+D729*04_Baseline_PnL!$B$15*04_Baseline_PnL!$B$13*03_Inputs_Assumptions!$B$15*($H$8-1)</f>
        <v>142092.992651708</v>
      </c>
      <c r="I729" s="16" t="n">
        <f aca="false">G729+H729</f>
        <v>155530.801983176</v>
      </c>
    </row>
    <row r="730" customFormat="false" ht="15" hidden="false" customHeight="true" outlineLevel="0" collapsed="false">
      <c r="A730" s="4" t="s">
        <v>304</v>
      </c>
      <c r="B730" s="4" t="n">
        <v>120</v>
      </c>
      <c r="C730" s="24" t="n">
        <f aca="true">RAND()</f>
        <v>0.381369224630864</v>
      </c>
      <c r="D730" s="25" t="n">
        <f aca="false">IF(C730&lt;(($C$8-$B$8)/($D$8-$B$8)),$B$8+SQRT(C730*($D$8-$B$8)*($C$8-$B$8)),$D$8-SQRT((1-C730)*($D$8-$B$8)*($D$8-$C$8)))</f>
        <v>8.96505422696586</v>
      </c>
      <c r="E730" s="26" t="n">
        <f aca="true">MAX(0,$E$8+$F$8*_xlfn.NORM.S.INV(RAND()))</f>
        <v>0.139613990347141</v>
      </c>
      <c r="F730" s="27" t="n">
        <f aca="false">1/(1+EXP(-03_Inputs_Assumptions!$B$14*(E730-03_Inputs_Assumptions!$B$5)))</f>
        <v>0.00540454127998181</v>
      </c>
      <c r="G730" s="28" t="n">
        <f aca="false">D730*04_Baseline_PnL!$B$15*F730*04_Baseline_PnL!$B$14</f>
        <v>13854.8312472481</v>
      </c>
      <c r="H730" s="28" t="n">
        <f aca="false">D730*03_Inputs_Assumptions!$B$13*01_Macro_Data!$B$97*($G$8-1)+D730*04_Baseline_PnL!$B$15*04_Baseline_PnL!$B$13*03_Inputs_Assumptions!$B$15*($H$8-1)</f>
        <v>161768.63156508</v>
      </c>
      <c r="I730" s="16" t="n">
        <f aca="false">G730+H730</f>
        <v>175623.462812328</v>
      </c>
    </row>
    <row r="731" customFormat="false" ht="15" hidden="false" customHeight="true" outlineLevel="0" collapsed="false">
      <c r="A731" s="4" t="s">
        <v>304</v>
      </c>
      <c r="B731" s="4" t="n">
        <v>121</v>
      </c>
      <c r="C731" s="24" t="n">
        <f aca="true">RAND()</f>
        <v>0.415926584505637</v>
      </c>
      <c r="D731" s="25" t="n">
        <f aca="false">IF(C731&lt;(($C$8-$B$8)/($D$8-$B$8)),$B$8+SQRT(C731*($D$8-$B$8)*($C$8-$B$8)),$D$8-SQRT((1-C731)*($D$8-$B$8)*($D$8-$C$8)))</f>
        <v>9.16436738556342</v>
      </c>
      <c r="E731" s="26" t="n">
        <f aca="true">MAX(0,$E$8+$F$8*_xlfn.NORM.S.INV(RAND()))</f>
        <v>0</v>
      </c>
      <c r="F731" s="27" t="n">
        <f aca="false">1/(1+EXP(-03_Inputs_Assumptions!$B$14*(E731-03_Inputs_Assumptions!$B$5)))</f>
        <v>0.0052201256935584</v>
      </c>
      <c r="G731" s="28" t="n">
        <f aca="false">D731*04_Baseline_PnL!$B$15*F731*04_Baseline_PnL!$B$14</f>
        <v>13679.5853262764</v>
      </c>
      <c r="H731" s="28" t="n">
        <f aca="false">D731*03_Inputs_Assumptions!$B$13*01_Macro_Data!$B$97*($G$8-1)+D731*04_Baseline_PnL!$B$15*04_Baseline_PnL!$B$13*03_Inputs_Assumptions!$B$15*($H$8-1)</f>
        <v>165365.109188412</v>
      </c>
      <c r="I731" s="16" t="n">
        <f aca="false">G731+H731</f>
        <v>179044.694514689</v>
      </c>
    </row>
    <row r="732" customFormat="false" ht="15" hidden="false" customHeight="true" outlineLevel="0" collapsed="false">
      <c r="A732" s="4" t="s">
        <v>304</v>
      </c>
      <c r="B732" s="4" t="n">
        <v>122</v>
      </c>
      <c r="C732" s="24" t="n">
        <f aca="true">RAND()</f>
        <v>0.952934146692585</v>
      </c>
      <c r="D732" s="25" t="n">
        <f aca="false">IF(C732&lt;(($C$8-$B$8)/($D$8-$B$8)),$B$8+SQRT(C732*($D$8-$B$8)*($C$8-$B$8)),$D$8-SQRT((1-C732)*($D$8-$B$8)*($D$8-$C$8)))</f>
        <v>14.059570082535</v>
      </c>
      <c r="E732" s="26" t="n">
        <f aca="true">MAX(0,$E$8+$F$8*_xlfn.NORM.S.INV(RAND()))</f>
        <v>0</v>
      </c>
      <c r="F732" s="27" t="n">
        <f aca="false">1/(1+EXP(-03_Inputs_Assumptions!$B$14*(E732-03_Inputs_Assumptions!$B$5)))</f>
        <v>0.0052201256935584</v>
      </c>
      <c r="G732" s="28" t="n">
        <f aca="false">D732*04_Baseline_PnL!$B$15*F732*04_Baseline_PnL!$B$14</f>
        <v>20986.6192071016</v>
      </c>
      <c r="H732" s="28" t="n">
        <f aca="false">D732*03_Inputs_Assumptions!$B$13*01_Macro_Data!$B$97*($G$8-1)+D732*04_Baseline_PnL!$B$15*04_Baseline_PnL!$B$13*03_Inputs_Assumptions!$B$15*($H$8-1)</f>
        <v>253695.89018256</v>
      </c>
      <c r="I732" s="16" t="n">
        <f aca="false">G732+H732</f>
        <v>274682.509389662</v>
      </c>
    </row>
    <row r="733" customFormat="false" ht="15" hidden="false" customHeight="true" outlineLevel="0" collapsed="false">
      <c r="A733" s="4" t="s">
        <v>304</v>
      </c>
      <c r="B733" s="4" t="n">
        <v>123</v>
      </c>
      <c r="C733" s="24" t="n">
        <f aca="true">RAND()</f>
        <v>0.396761740345178</v>
      </c>
      <c r="D733" s="25" t="n">
        <f aca="false">IF(C733&lt;(($C$8-$B$8)/($D$8-$B$8)),$B$8+SQRT(C733*($D$8-$B$8)*($C$8-$B$8)),$D$8-SQRT((1-C733)*($D$8-$B$8)*($D$8-$C$8)))</f>
        <v>9.05312582722375</v>
      </c>
      <c r="E733" s="26" t="n">
        <f aca="true">MAX(0,$E$8+$F$8*_xlfn.NORM.S.INV(RAND()))</f>
        <v>0</v>
      </c>
      <c r="F733" s="27" t="n">
        <f aca="false">1/(1+EXP(-03_Inputs_Assumptions!$B$14*(E733-03_Inputs_Assumptions!$B$5)))</f>
        <v>0.0052201256935584</v>
      </c>
      <c r="G733" s="28" t="n">
        <f aca="false">D733*04_Baseline_PnL!$B$15*F733*04_Baseline_PnL!$B$14</f>
        <v>13513.5358517068</v>
      </c>
      <c r="H733" s="28" t="n">
        <f aca="false">D733*03_Inputs_Assumptions!$B$13*01_Macro_Data!$B$97*($G$8-1)+D733*04_Baseline_PnL!$B$15*04_Baseline_PnL!$B$13*03_Inputs_Assumptions!$B$15*($H$8-1)</f>
        <v>163357.826888697</v>
      </c>
      <c r="I733" s="16" t="n">
        <f aca="false">G733+H733</f>
        <v>176871.362740404</v>
      </c>
    </row>
    <row r="734" customFormat="false" ht="15" hidden="false" customHeight="true" outlineLevel="0" collapsed="false">
      <c r="A734" s="4" t="s">
        <v>304</v>
      </c>
      <c r="B734" s="4" t="n">
        <v>124</v>
      </c>
      <c r="C734" s="24" t="n">
        <f aca="true">RAND()</f>
        <v>0.762451076019959</v>
      </c>
      <c r="D734" s="25" t="n">
        <f aca="false">IF(C734&lt;(($C$8-$B$8)/($D$8-$B$8)),$B$8+SQRT(C734*($D$8-$B$8)*($C$8-$B$8)),$D$8-SQRT((1-C734)*($D$8-$B$8)*($D$8-$C$8)))</f>
        <v>11.6406521223464</v>
      </c>
      <c r="E734" s="26" t="n">
        <f aca="true">MAX(0,$E$8+$F$8*_xlfn.NORM.S.INV(RAND()))</f>
        <v>0.19185695609881</v>
      </c>
      <c r="F734" s="27" t="n">
        <f aca="false">1/(1+EXP(-03_Inputs_Assumptions!$B$14*(E734-03_Inputs_Assumptions!$B$5)))</f>
        <v>0.00547520255624063</v>
      </c>
      <c r="G734" s="28" t="n">
        <f aca="false">D734*04_Baseline_PnL!$B$15*F734*04_Baseline_PnL!$B$14</f>
        <v>18224.9767323436</v>
      </c>
      <c r="H734" s="28" t="n">
        <f aca="false">D734*03_Inputs_Assumptions!$B$13*01_Macro_Data!$B$97*($G$8-1)+D734*04_Baseline_PnL!$B$15*04_Baseline_PnL!$B$13*03_Inputs_Assumptions!$B$15*($H$8-1)</f>
        <v>210048.072960116</v>
      </c>
      <c r="I734" s="16" t="n">
        <f aca="false">G734+H734</f>
        <v>228273.049692459</v>
      </c>
    </row>
    <row r="735" customFormat="false" ht="15" hidden="false" customHeight="true" outlineLevel="0" collapsed="false">
      <c r="A735" s="4" t="s">
        <v>304</v>
      </c>
      <c r="B735" s="4" t="n">
        <v>125</v>
      </c>
      <c r="C735" s="24" t="n">
        <f aca="true">RAND()</f>
        <v>0.417842054263257</v>
      </c>
      <c r="D735" s="25" t="n">
        <f aca="false">IF(C735&lt;(($C$8-$B$8)/($D$8-$B$8)),$B$8+SQRT(C735*($D$8-$B$8)*($C$8-$B$8)),$D$8-SQRT((1-C735)*($D$8-$B$8)*($D$8-$C$8)))</f>
        <v>9.17558532481067</v>
      </c>
      <c r="E735" s="26" t="n">
        <f aca="true">MAX(0,$E$8+$F$8*_xlfn.NORM.S.INV(RAND()))</f>
        <v>0</v>
      </c>
      <c r="F735" s="27" t="n">
        <f aca="false">1/(1+EXP(-03_Inputs_Assumptions!$B$14*(E735-03_Inputs_Assumptions!$B$5)))</f>
        <v>0.0052201256935584</v>
      </c>
      <c r="G735" s="28" t="n">
        <f aca="false">D735*04_Baseline_PnL!$B$15*F735*04_Baseline_PnL!$B$14</f>
        <v>13696.3302635603</v>
      </c>
      <c r="H735" s="28" t="n">
        <f aca="false">D735*03_Inputs_Assumptions!$B$13*01_Macro_Data!$B$97*($G$8-1)+D735*04_Baseline_PnL!$B$15*04_Baseline_PnL!$B$13*03_Inputs_Assumptions!$B$15*($H$8-1)</f>
        <v>165567.529679696</v>
      </c>
      <c r="I735" s="16" t="n">
        <f aca="false">G735+H735</f>
        <v>179263.859943256</v>
      </c>
    </row>
    <row r="736" customFormat="false" ht="15" hidden="false" customHeight="true" outlineLevel="0" collapsed="false">
      <c r="A736" s="4" t="s">
        <v>304</v>
      </c>
      <c r="B736" s="4" t="n">
        <v>126</v>
      </c>
      <c r="C736" s="24" t="n">
        <f aca="true">RAND()</f>
        <v>0.910254717895448</v>
      </c>
      <c r="D736" s="25" t="n">
        <f aca="false">IF(C736&lt;(($C$8-$B$8)/($D$8-$B$8)),$B$8+SQRT(C736*($D$8-$B$8)*($C$8-$B$8)),$D$8-SQRT((1-C736)*($D$8-$B$8)*($D$8-$C$8)))</f>
        <v>13.3205182276485</v>
      </c>
      <c r="E736" s="26" t="n">
        <f aca="true">MAX(0,$E$8+$F$8*_xlfn.NORM.S.INV(RAND()))</f>
        <v>0</v>
      </c>
      <c r="F736" s="27" t="n">
        <f aca="false">1/(1+EXP(-03_Inputs_Assumptions!$B$14*(E736-03_Inputs_Assumptions!$B$5)))</f>
        <v>0.0052201256935584</v>
      </c>
      <c r="G736" s="28" t="n">
        <f aca="false">D736*04_Baseline_PnL!$B$15*F736*04_Baseline_PnL!$B$14</f>
        <v>19883.4418153496</v>
      </c>
      <c r="H736" s="28" t="n">
        <f aca="false">D736*03_Inputs_Assumptions!$B$13*01_Macro_Data!$B$97*($G$8-1)+D736*04_Baseline_PnL!$B$15*04_Baseline_PnL!$B$13*03_Inputs_Assumptions!$B$15*($H$8-1)</f>
        <v>240360.175284036</v>
      </c>
      <c r="I736" s="16" t="n">
        <f aca="false">G736+H736</f>
        <v>260243.617099385</v>
      </c>
    </row>
    <row r="737" customFormat="false" ht="15" hidden="false" customHeight="true" outlineLevel="0" collapsed="false">
      <c r="A737" s="4" t="s">
        <v>304</v>
      </c>
      <c r="B737" s="4" t="n">
        <v>127</v>
      </c>
      <c r="C737" s="24" t="n">
        <f aca="true">RAND()</f>
        <v>0.106308307909858</v>
      </c>
      <c r="D737" s="25" t="n">
        <f aca="false">IF(C737&lt;(($C$8-$B$8)/($D$8-$B$8)),$B$8+SQRT(C737*($D$8-$B$8)*($C$8-$B$8)),$D$8-SQRT((1-C737)*($D$8-$B$8)*($D$8-$C$8)))</f>
        <v>7.45813790781159</v>
      </c>
      <c r="E737" s="26" t="n">
        <f aca="true">MAX(0,$E$8+$F$8*_xlfn.NORM.S.INV(RAND()))</f>
        <v>0.430902760176862</v>
      </c>
      <c r="F737" s="27" t="n">
        <f aca="false">1/(1+EXP(-03_Inputs_Assumptions!$B$14*(E737-03_Inputs_Assumptions!$B$5)))</f>
        <v>0.00581042430623273</v>
      </c>
      <c r="G737" s="28" t="n">
        <f aca="false">D737*04_Baseline_PnL!$B$15*F737*04_Baseline_PnL!$B$14</f>
        <v>12391.6100656188</v>
      </c>
      <c r="H737" s="28" t="n">
        <f aca="false">D737*03_Inputs_Assumptions!$B$13*01_Macro_Data!$B$97*($G$8-1)+D737*04_Baseline_PnL!$B$15*04_Baseline_PnL!$B$13*03_Inputs_Assumptions!$B$15*($H$8-1)</f>
        <v>134577.296782136</v>
      </c>
      <c r="I737" s="16" t="n">
        <f aca="false">G737+H737</f>
        <v>146968.906847755</v>
      </c>
    </row>
    <row r="738" customFormat="false" ht="15" hidden="false" customHeight="true" outlineLevel="0" collapsed="false">
      <c r="A738" s="4" t="s">
        <v>304</v>
      </c>
      <c r="B738" s="4" t="n">
        <v>128</v>
      </c>
      <c r="C738" s="24" t="n">
        <f aca="true">RAND()</f>
        <v>0.0355766269735046</v>
      </c>
      <c r="D738" s="25" t="n">
        <f aca="false">IF(C738&lt;(($C$8-$B$8)/($D$8-$B$8)),$B$8+SQRT(C738*($D$8-$B$8)*($C$8-$B$8)),$D$8-SQRT((1-C738)*($D$8-$B$8)*($D$8-$C$8)))</f>
        <v>6.84352388197969</v>
      </c>
      <c r="E738" s="26" t="n">
        <f aca="true">MAX(0,$E$8+$F$8*_xlfn.NORM.S.INV(RAND()))</f>
        <v>0.412669795495169</v>
      </c>
      <c r="F738" s="27" t="n">
        <f aca="false">1/(1+EXP(-03_Inputs_Assumptions!$B$14*(E738-03_Inputs_Assumptions!$B$5)))</f>
        <v>0.00578415210902953</v>
      </c>
      <c r="G738" s="28" t="n">
        <f aca="false">D738*04_Baseline_PnL!$B$15*F738*04_Baseline_PnL!$B$14</f>
        <v>11319.0238165533</v>
      </c>
      <c r="H738" s="28" t="n">
        <f aca="false">D738*03_Inputs_Assumptions!$B$13*01_Macro_Data!$B$97*($G$8-1)+D738*04_Baseline_PnL!$B$15*04_Baseline_PnL!$B$13*03_Inputs_Assumptions!$B$15*($H$8-1)</f>
        <v>123486.982392239</v>
      </c>
      <c r="I738" s="16" t="n">
        <f aca="false">G738+H738</f>
        <v>134806.006208792</v>
      </c>
    </row>
    <row r="739" customFormat="false" ht="15" hidden="false" customHeight="true" outlineLevel="0" collapsed="false">
      <c r="A739" s="4" t="s">
        <v>304</v>
      </c>
      <c r="B739" s="4" t="n">
        <v>129</v>
      </c>
      <c r="C739" s="24" t="n">
        <f aca="true">RAND()</f>
        <v>0.400584138383412</v>
      </c>
      <c r="D739" s="25" t="n">
        <f aca="false">IF(C739&lt;(($C$8-$B$8)/($D$8-$B$8)),$B$8+SQRT(C739*($D$8-$B$8)*($C$8-$B$8)),$D$8-SQRT((1-C739)*($D$8-$B$8)*($D$8-$C$8)))</f>
        <v>9.07517011549547</v>
      </c>
      <c r="E739" s="26" t="n">
        <f aca="true">MAX(0,$E$8+$F$8*_xlfn.NORM.S.INV(RAND()))</f>
        <v>0</v>
      </c>
      <c r="F739" s="27" t="n">
        <f aca="false">1/(1+EXP(-03_Inputs_Assumptions!$B$14*(E739-03_Inputs_Assumptions!$B$5)))</f>
        <v>0.0052201256935584</v>
      </c>
      <c r="G739" s="28" t="n">
        <f aca="false">D739*04_Baseline_PnL!$B$15*F739*04_Baseline_PnL!$B$14</f>
        <v>13546.4412023637</v>
      </c>
      <c r="H739" s="28" t="n">
        <f aca="false">D739*03_Inputs_Assumptions!$B$13*01_Macro_Data!$B$97*($G$8-1)+D739*04_Baseline_PnL!$B$15*04_Baseline_PnL!$B$13*03_Inputs_Assumptions!$B$15*($H$8-1)</f>
        <v>163755.601877812</v>
      </c>
      <c r="I739" s="16" t="n">
        <f aca="false">G739+H739</f>
        <v>177302.043080175</v>
      </c>
    </row>
    <row r="740" customFormat="false" ht="15" hidden="false" customHeight="true" outlineLevel="0" collapsed="false">
      <c r="A740" s="4" t="s">
        <v>304</v>
      </c>
      <c r="B740" s="4" t="n">
        <v>130</v>
      </c>
      <c r="C740" s="24" t="n">
        <f aca="true">RAND()</f>
        <v>0.316030016659145</v>
      </c>
      <c r="D740" s="25" t="n">
        <f aca="false">IF(C740&lt;(($C$8-$B$8)/($D$8-$B$8)),$B$8+SQRT(C740*($D$8-$B$8)*($C$8-$B$8)),$D$8-SQRT((1-C740)*($D$8-$B$8)*($D$8-$C$8)))</f>
        <v>8.60286550972146</v>
      </c>
      <c r="E740" s="26" t="n">
        <f aca="true">MAX(0,$E$8+$F$8*_xlfn.NORM.S.INV(RAND()))</f>
        <v>0.274705617277477</v>
      </c>
      <c r="F740" s="27" t="n">
        <f aca="false">1/(1+EXP(-03_Inputs_Assumptions!$B$14*(E740-03_Inputs_Assumptions!$B$5)))</f>
        <v>0.00558914798358157</v>
      </c>
      <c r="G740" s="28" t="n">
        <f aca="false">D740*04_Baseline_PnL!$B$15*F740*04_Baseline_PnL!$B$14</f>
        <v>13749.2251359383</v>
      </c>
      <c r="H740" s="28" t="n">
        <f aca="false">D740*03_Inputs_Assumptions!$B$13*01_Macro_Data!$B$97*($G$8-1)+D740*04_Baseline_PnL!$B$15*04_Baseline_PnL!$B$13*03_Inputs_Assumptions!$B$15*($H$8-1)</f>
        <v>155233.169349949</v>
      </c>
      <c r="I740" s="16" t="n">
        <f aca="false">G740+H740</f>
        <v>168982.394485887</v>
      </c>
    </row>
    <row r="741" customFormat="false" ht="15" hidden="false" customHeight="true" outlineLevel="0" collapsed="false">
      <c r="A741" s="4" t="s">
        <v>304</v>
      </c>
      <c r="B741" s="4" t="n">
        <v>131</v>
      </c>
      <c r="C741" s="24" t="n">
        <f aca="true">RAND()</f>
        <v>0.862397738309555</v>
      </c>
      <c r="D741" s="25" t="n">
        <f aca="false">IF(C741&lt;(($C$8-$B$8)/($D$8-$B$8)),$B$8+SQRT(C741*($D$8-$B$8)*($C$8-$B$8)),$D$8-SQRT((1-C741)*($D$8-$B$8)*($D$8-$C$8)))</f>
        <v>12.68214211648</v>
      </c>
      <c r="E741" s="26" t="n">
        <f aca="true">MAX(0,$E$8+$F$8*_xlfn.NORM.S.INV(RAND()))</f>
        <v>0.114638782073501</v>
      </c>
      <c r="F741" s="27" t="n">
        <f aca="false">1/(1+EXP(-03_Inputs_Assumptions!$B$14*(E741-03_Inputs_Assumptions!$B$5)))</f>
        <v>0.00537108220513653</v>
      </c>
      <c r="G741" s="28" t="n">
        <f aca="false">D741*04_Baseline_PnL!$B$15*F741*04_Baseline_PnL!$B$14</f>
        <v>19477.9791318757</v>
      </c>
      <c r="H741" s="28" t="n">
        <f aca="false">D741*03_Inputs_Assumptions!$B$13*01_Macro_Data!$B$97*($G$8-1)+D741*04_Baseline_PnL!$B$15*04_Baseline_PnL!$B$13*03_Inputs_Assumptions!$B$15*($H$8-1)</f>
        <v>228841.089362956</v>
      </c>
      <c r="I741" s="16" t="n">
        <f aca="false">G741+H741</f>
        <v>248319.068494832</v>
      </c>
    </row>
    <row r="742" customFormat="false" ht="15" hidden="false" customHeight="true" outlineLevel="0" collapsed="false">
      <c r="A742" s="4" t="s">
        <v>304</v>
      </c>
      <c r="B742" s="4" t="n">
        <v>132</v>
      </c>
      <c r="C742" s="24" t="n">
        <f aca="true">RAND()</f>
        <v>0.299258256590053</v>
      </c>
      <c r="D742" s="25" t="n">
        <f aca="false">IF(C742&lt;(($C$8-$B$8)/($D$8-$B$8)),$B$8+SQRT(C742*($D$8-$B$8)*($C$8-$B$8)),$D$8-SQRT((1-C742)*($D$8-$B$8)*($D$8-$C$8)))</f>
        <v>8.51272149090233</v>
      </c>
      <c r="E742" s="26" t="n">
        <f aca="true">MAX(0,$E$8+$F$8*_xlfn.NORM.S.INV(RAND()))</f>
        <v>0.326679667760544</v>
      </c>
      <c r="F742" s="27" t="n">
        <f aca="false">1/(1+EXP(-03_Inputs_Assumptions!$B$14*(E742-03_Inputs_Assumptions!$B$5)))</f>
        <v>0.00566183065019878</v>
      </c>
      <c r="G742" s="28" t="n">
        <f aca="false">D742*04_Baseline_PnL!$B$15*F742*04_Baseline_PnL!$B$14</f>
        <v>13782.0804687243</v>
      </c>
      <c r="H742" s="28" t="n">
        <f aca="false">D742*03_Inputs_Assumptions!$B$13*01_Macro_Data!$B$97*($G$8-1)+D742*04_Baseline_PnL!$B$15*04_Baseline_PnL!$B$13*03_Inputs_Assumptions!$B$15*($H$8-1)</f>
        <v>153606.578567677</v>
      </c>
      <c r="I742" s="16" t="n">
        <f aca="false">G742+H742</f>
        <v>167388.659036402</v>
      </c>
    </row>
    <row r="743" customFormat="false" ht="15" hidden="false" customHeight="true" outlineLevel="0" collapsed="false">
      <c r="A743" s="4" t="s">
        <v>304</v>
      </c>
      <c r="B743" s="4" t="n">
        <v>133</v>
      </c>
      <c r="C743" s="24" t="n">
        <f aca="true">RAND()</f>
        <v>0.590991763761888</v>
      </c>
      <c r="D743" s="25" t="n">
        <f aca="false">IF(C743&lt;(($C$8-$B$8)/($D$8-$B$8)),$B$8+SQRT(C743*($D$8-$B$8)*($C$8-$B$8)),$D$8-SQRT((1-C743)*($D$8-$B$8)*($D$8-$C$8)))</f>
        <v>10.2798025471974</v>
      </c>
      <c r="E743" s="26" t="n">
        <f aca="true">MAX(0,$E$8+$F$8*_xlfn.NORM.S.INV(RAND()))</f>
        <v>0</v>
      </c>
      <c r="F743" s="27" t="n">
        <f aca="false">1/(1+EXP(-03_Inputs_Assumptions!$B$14*(E743-03_Inputs_Assumptions!$B$5)))</f>
        <v>0.0052201256935584</v>
      </c>
      <c r="G743" s="28" t="n">
        <f aca="false">D743*04_Baseline_PnL!$B$15*F743*04_Baseline_PnL!$B$14</f>
        <v>15344.5873747035</v>
      </c>
      <c r="H743" s="28" t="n">
        <f aca="false">D743*03_Inputs_Assumptions!$B$13*01_Macro_Data!$B$97*($G$8-1)+D743*04_Baseline_PnL!$B$15*04_Baseline_PnL!$B$13*03_Inputs_Assumptions!$B$15*($H$8-1)</f>
        <v>185492.418530765</v>
      </c>
      <c r="I743" s="16" t="n">
        <f aca="false">G743+H743</f>
        <v>200837.005905468</v>
      </c>
    </row>
    <row r="744" customFormat="false" ht="15" hidden="false" customHeight="true" outlineLevel="0" collapsed="false">
      <c r="A744" s="4" t="s">
        <v>304</v>
      </c>
      <c r="B744" s="4" t="n">
        <v>134</v>
      </c>
      <c r="C744" s="24" t="n">
        <f aca="true">RAND()</f>
        <v>0.373448931103721</v>
      </c>
      <c r="D744" s="25" t="n">
        <f aca="false">IF(C744&lt;(($C$8-$B$8)/($D$8-$B$8)),$B$8+SQRT(C744*($D$8-$B$8)*($C$8-$B$8)),$D$8-SQRT((1-C744)*($D$8-$B$8)*($D$8-$C$8)))</f>
        <v>8.92016345445022</v>
      </c>
      <c r="E744" s="26" t="n">
        <f aca="true">MAX(0,$E$8+$F$8*_xlfn.NORM.S.INV(RAND()))</f>
        <v>0</v>
      </c>
      <c r="F744" s="27" t="n">
        <f aca="false">1/(1+EXP(-03_Inputs_Assumptions!$B$14*(E744-03_Inputs_Assumptions!$B$5)))</f>
        <v>0.0052201256935584</v>
      </c>
      <c r="G744" s="28" t="n">
        <f aca="false">D744*04_Baseline_PnL!$B$15*F744*04_Baseline_PnL!$B$14</f>
        <v>13315.0638735532</v>
      </c>
      <c r="H744" s="28" t="n">
        <f aca="false">D744*03_Inputs_Assumptions!$B$13*01_Macro_Data!$B$97*($G$8-1)+D744*04_Baseline_PnL!$B$15*04_Baseline_PnL!$B$13*03_Inputs_Assumptions!$B$15*($H$8-1)</f>
        <v>160958.60647701</v>
      </c>
      <c r="I744" s="16" t="n">
        <f aca="false">G744+H744</f>
        <v>174273.670350563</v>
      </c>
    </row>
    <row r="745" customFormat="false" ht="15" hidden="false" customHeight="true" outlineLevel="0" collapsed="false">
      <c r="A745" s="4" t="s">
        <v>304</v>
      </c>
      <c r="B745" s="4" t="n">
        <v>135</v>
      </c>
      <c r="C745" s="24" t="n">
        <f aca="true">RAND()</f>
        <v>0.571651572513436</v>
      </c>
      <c r="D745" s="25" t="n">
        <f aca="false">IF(C745&lt;(($C$8-$B$8)/($D$8-$B$8)),$B$8+SQRT(C745*($D$8-$B$8)*($C$8-$B$8)),$D$8-SQRT((1-C745)*($D$8-$B$8)*($D$8-$C$8)))</f>
        <v>10.1461231479536</v>
      </c>
      <c r="E745" s="26" t="n">
        <f aca="true">MAX(0,$E$8+$F$8*_xlfn.NORM.S.INV(RAND()))</f>
        <v>0.184501241135984</v>
      </c>
      <c r="F745" s="27" t="n">
        <f aca="false">1/(1+EXP(-03_Inputs_Assumptions!$B$14*(E745-03_Inputs_Assumptions!$B$5)))</f>
        <v>0.0054651982766856</v>
      </c>
      <c r="G745" s="28" t="n">
        <f aca="false">D745*04_Baseline_PnL!$B$15*F745*04_Baseline_PnL!$B$14</f>
        <v>15856.0692250601</v>
      </c>
      <c r="H745" s="28" t="n">
        <f aca="false">D745*03_Inputs_Assumptions!$B$13*01_Macro_Data!$B$97*($G$8-1)+D745*04_Baseline_PnL!$B$15*04_Baseline_PnL!$B$13*03_Inputs_Assumptions!$B$15*($H$8-1)</f>
        <v>183080.259838063</v>
      </c>
      <c r="I745" s="16" t="n">
        <f aca="false">G745+H745</f>
        <v>198936.329063123</v>
      </c>
    </row>
    <row r="746" customFormat="false" ht="15" hidden="false" customHeight="true" outlineLevel="0" collapsed="false">
      <c r="A746" s="4" t="s">
        <v>304</v>
      </c>
      <c r="B746" s="4" t="n">
        <v>136</v>
      </c>
      <c r="C746" s="24" t="n">
        <f aca="true">RAND()</f>
        <v>0.980185734295714</v>
      </c>
      <c r="D746" s="25" t="n">
        <f aca="false">IF(C746&lt;(($C$8-$B$8)/($D$8-$B$8)),$B$8+SQRT(C746*($D$8-$B$8)*($C$8-$B$8)),$D$8-SQRT((1-C746)*($D$8-$B$8)*($D$8-$C$8)))</f>
        <v>14.740976069988</v>
      </c>
      <c r="E746" s="26" t="n">
        <f aca="true">MAX(0,$E$8+$F$8*_xlfn.NORM.S.INV(RAND()))</f>
        <v>0.701911073640131</v>
      </c>
      <c r="F746" s="27" t="n">
        <f aca="false">1/(1+EXP(-03_Inputs_Assumptions!$B$14*(E746-03_Inputs_Assumptions!$B$5)))</f>
        <v>0.00621520338463399</v>
      </c>
      <c r="G746" s="28" t="n">
        <f aca="false">D746*04_Baseline_PnL!$B$15*F746*04_Baseline_PnL!$B$14</f>
        <v>26198.1767211501</v>
      </c>
      <c r="H746" s="28" t="n">
        <f aca="false">D746*03_Inputs_Assumptions!$B$13*01_Macro_Data!$B$97*($G$8-1)+D746*04_Baseline_PnL!$B$15*04_Baseline_PnL!$B$13*03_Inputs_Assumptions!$B$15*($H$8-1)</f>
        <v>265991.422517319</v>
      </c>
      <c r="I746" s="16" t="n">
        <f aca="false">G746+H746</f>
        <v>292189.599238469</v>
      </c>
    </row>
    <row r="747" customFormat="false" ht="15" hidden="false" customHeight="true" outlineLevel="0" collapsed="false">
      <c r="A747" s="4" t="s">
        <v>304</v>
      </c>
      <c r="B747" s="4" t="n">
        <v>137</v>
      </c>
      <c r="C747" s="24" t="n">
        <f aca="true">RAND()</f>
        <v>0.731510452097697</v>
      </c>
      <c r="D747" s="25" t="n">
        <f aca="false">IF(C747&lt;(($C$8-$B$8)/($D$8-$B$8)),$B$8+SQRT(C747*($D$8-$B$8)*($C$8-$B$8)),$D$8-SQRT((1-C747)*($D$8-$B$8)*($D$8-$C$8)))</f>
        <v>11.3654381186369</v>
      </c>
      <c r="E747" s="26" t="n">
        <f aca="true">MAX(0,$E$8+$F$8*_xlfn.NORM.S.INV(RAND()))</f>
        <v>0.403729729754925</v>
      </c>
      <c r="F747" s="27" t="n">
        <f aca="false">1/(1+EXP(-03_Inputs_Assumptions!$B$14*(E747-03_Inputs_Assumptions!$B$5)))</f>
        <v>0.00577131339637834</v>
      </c>
      <c r="G747" s="28" t="n">
        <f aca="false">D747*04_Baseline_PnL!$B$15*F747*04_Baseline_PnL!$B$14</f>
        <v>18756.43607101</v>
      </c>
      <c r="H747" s="28" t="n">
        <f aca="false">D747*03_Inputs_Assumptions!$B$13*01_Macro_Data!$B$97*($G$8-1)+D747*04_Baseline_PnL!$B$15*04_Baseline_PnL!$B$13*03_Inputs_Assumptions!$B$15*($H$8-1)</f>
        <v>205082.013453892</v>
      </c>
      <c r="I747" s="16" t="n">
        <f aca="false">G747+H747</f>
        <v>223838.449524902</v>
      </c>
    </row>
    <row r="748" customFormat="false" ht="15" hidden="false" customHeight="true" outlineLevel="0" collapsed="false">
      <c r="A748" s="4" t="s">
        <v>304</v>
      </c>
      <c r="B748" s="4" t="n">
        <v>138</v>
      </c>
      <c r="C748" s="24" t="n">
        <f aca="true">RAND()</f>
        <v>0.865208286427155</v>
      </c>
      <c r="D748" s="25" t="n">
        <f aca="false">IF(C748&lt;(($C$8-$B$8)/($D$8-$B$8)),$B$8+SQRT(C748*($D$8-$B$8)*($C$8-$B$8)),$D$8-SQRT((1-C748)*($D$8-$B$8)*($D$8-$C$8)))</f>
        <v>12.7162008152404</v>
      </c>
      <c r="E748" s="26" t="n">
        <f aca="true">MAX(0,$E$8+$F$8*_xlfn.NORM.S.INV(RAND()))</f>
        <v>0.0178895190069214</v>
      </c>
      <c r="F748" s="27" t="n">
        <f aca="false">1/(1+EXP(-03_Inputs_Assumptions!$B$14*(E748-03_Inputs_Assumptions!$B$5)))</f>
        <v>0.00524340167425529</v>
      </c>
      <c r="G748" s="28" t="n">
        <f aca="false">D748*04_Baseline_PnL!$B$15*F748*04_Baseline_PnL!$B$14</f>
        <v>19066.0175023936</v>
      </c>
      <c r="H748" s="28" t="n">
        <f aca="false">D748*03_Inputs_Assumptions!$B$13*01_Macro_Data!$B$97*($G$8-1)+D748*04_Baseline_PnL!$B$15*04_Baseline_PnL!$B$13*03_Inputs_Assumptions!$B$15*($H$8-1)</f>
        <v>229455.656654115</v>
      </c>
      <c r="I748" s="16" t="n">
        <f aca="false">G748+H748</f>
        <v>248521.674156509</v>
      </c>
    </row>
    <row r="749" customFormat="false" ht="15" hidden="false" customHeight="true" outlineLevel="0" collapsed="false">
      <c r="A749" s="4" t="s">
        <v>304</v>
      </c>
      <c r="B749" s="4" t="n">
        <v>139</v>
      </c>
      <c r="C749" s="24" t="n">
        <f aca="true">RAND()</f>
        <v>0.695914913891483</v>
      </c>
      <c r="D749" s="25" t="n">
        <f aca="false">IF(C749&lt;(($C$8-$B$8)/($D$8-$B$8)),$B$8+SQRT(C749*($D$8-$B$8)*($C$8-$B$8)),$D$8-SQRT((1-C749)*($D$8-$B$8)*($D$8-$C$8)))</f>
        <v>11.0677787064365</v>
      </c>
      <c r="E749" s="26" t="n">
        <f aca="true">MAX(0,$E$8+$F$8*_xlfn.NORM.S.INV(RAND()))</f>
        <v>0</v>
      </c>
      <c r="F749" s="27" t="n">
        <f aca="false">1/(1+EXP(-03_Inputs_Assumptions!$B$14*(E749-03_Inputs_Assumptions!$B$5)))</f>
        <v>0.0052201256935584</v>
      </c>
      <c r="G749" s="28" t="n">
        <f aca="false">D749*04_Baseline_PnL!$B$15*F749*04_Baseline_PnL!$B$14</f>
        <v>16520.7937239123</v>
      </c>
      <c r="H749" s="28" t="n">
        <f aca="false">D749*03_Inputs_Assumptions!$B$13*01_Macro_Data!$B$97*($G$8-1)+D749*04_Baseline_PnL!$B$15*04_Baseline_PnL!$B$13*03_Inputs_Assumptions!$B$15*($H$8-1)</f>
        <v>199710.941002452</v>
      </c>
      <c r="I749" s="16" t="n">
        <f aca="false">G749+H749</f>
        <v>216231.734726365</v>
      </c>
    </row>
    <row r="750" customFormat="false" ht="15" hidden="false" customHeight="true" outlineLevel="0" collapsed="false">
      <c r="A750" s="4" t="s">
        <v>304</v>
      </c>
      <c r="B750" s="4" t="n">
        <v>140</v>
      </c>
      <c r="C750" s="24" t="n">
        <f aca="true">RAND()</f>
        <v>0.145834407310381</v>
      </c>
      <c r="D750" s="25" t="n">
        <f aca="false">IF(C750&lt;(($C$8-$B$8)/($D$8-$B$8)),$B$8+SQRT(C750*($D$8-$B$8)*($C$8-$B$8)),$D$8-SQRT((1-C750)*($D$8-$B$8)*($D$8-$C$8)))</f>
        <v>7.70783141621403</v>
      </c>
      <c r="E750" s="26" t="n">
        <f aca="true">MAX(0,$E$8+$F$8*_xlfn.NORM.S.INV(RAND()))</f>
        <v>0</v>
      </c>
      <c r="F750" s="27" t="n">
        <f aca="false">1/(1+EXP(-03_Inputs_Assumptions!$B$14*(E750-03_Inputs_Assumptions!$B$5)))</f>
        <v>0.0052201256935584</v>
      </c>
      <c r="G750" s="28" t="n">
        <f aca="false">D750*04_Baseline_PnL!$B$15*F750*04_Baseline_PnL!$B$14</f>
        <v>11505.4245538817</v>
      </c>
      <c r="H750" s="28" t="n">
        <f aca="false">D750*03_Inputs_Assumptions!$B$13*01_Macro_Data!$B$97*($G$8-1)+D750*04_Baseline_PnL!$B$15*04_Baseline_PnL!$B$13*03_Inputs_Assumptions!$B$15*($H$8-1)</f>
        <v>139082.855381375</v>
      </c>
      <c r="I750" s="16" t="n">
        <f aca="false">G750+H750</f>
        <v>150588.279935257</v>
      </c>
    </row>
    <row r="751" customFormat="false" ht="15" hidden="false" customHeight="true" outlineLevel="0" collapsed="false">
      <c r="A751" s="4" t="s">
        <v>304</v>
      </c>
      <c r="B751" s="4" t="n">
        <v>141</v>
      </c>
      <c r="C751" s="24" t="n">
        <f aca="true">RAND()</f>
        <v>0.339668750124292</v>
      </c>
      <c r="D751" s="25" t="n">
        <f aca="false">IF(C751&lt;(($C$8-$B$8)/($D$8-$B$8)),$B$8+SQRT(C751*($D$8-$B$8)*($C$8-$B$8)),$D$8-SQRT((1-C751)*($D$8-$B$8)*($D$8-$C$8)))</f>
        <v>8.73181590835396</v>
      </c>
      <c r="E751" s="26" t="n">
        <f aca="true">MAX(0,$E$8+$F$8*_xlfn.NORM.S.INV(RAND()))</f>
        <v>0.76655648750615</v>
      </c>
      <c r="F751" s="27" t="n">
        <f aca="false">1/(1+EXP(-03_Inputs_Assumptions!$B$14*(E751-03_Inputs_Assumptions!$B$5)))</f>
        <v>0.00631582599195989</v>
      </c>
      <c r="G751" s="28" t="n">
        <f aca="false">D751*04_Baseline_PnL!$B$15*F751*04_Baseline_PnL!$B$14</f>
        <v>15769.7282120294</v>
      </c>
      <c r="H751" s="28" t="n">
        <f aca="false">D751*03_Inputs_Assumptions!$B$13*01_Macro_Data!$B$97*($G$8-1)+D751*04_Baseline_PnL!$B$15*04_Baseline_PnL!$B$13*03_Inputs_Assumptions!$B$15*($H$8-1)</f>
        <v>157559.996271286</v>
      </c>
      <c r="I751" s="16" t="n">
        <f aca="false">G751+H751</f>
        <v>173329.724483315</v>
      </c>
    </row>
    <row r="752" customFormat="false" ht="15" hidden="false" customHeight="true" outlineLevel="0" collapsed="false">
      <c r="A752" s="4" t="s">
        <v>304</v>
      </c>
      <c r="B752" s="4" t="n">
        <v>142</v>
      </c>
      <c r="C752" s="24" t="n">
        <f aca="true">RAND()</f>
        <v>0.743690086400541</v>
      </c>
      <c r="D752" s="25" t="n">
        <f aca="false">IF(C752&lt;(($C$8-$B$8)/($D$8-$B$8)),$B$8+SQRT(C752*($D$8-$B$8)*($C$8-$B$8)),$D$8-SQRT((1-C752)*($D$8-$B$8)*($D$8-$C$8)))</f>
        <v>11.4717781538493</v>
      </c>
      <c r="E752" s="26" t="n">
        <f aca="true">MAX(0,$E$8+$F$8*_xlfn.NORM.S.INV(RAND()))</f>
        <v>0</v>
      </c>
      <c r="F752" s="27" t="n">
        <f aca="false">1/(1+EXP(-03_Inputs_Assumptions!$B$14*(E752-03_Inputs_Assumptions!$B$5)))</f>
        <v>0.0052201256935584</v>
      </c>
      <c r="G752" s="28" t="n">
        <f aca="false">D752*04_Baseline_PnL!$B$15*F752*04_Baseline_PnL!$B$14</f>
        <v>17123.8407952637</v>
      </c>
      <c r="H752" s="28" t="n">
        <f aca="false">D752*03_Inputs_Assumptions!$B$13*01_Macro_Data!$B$97*($G$8-1)+D752*04_Baseline_PnL!$B$15*04_Baseline_PnL!$B$13*03_Inputs_Assumptions!$B$15*($H$8-1)</f>
        <v>207000.850924518</v>
      </c>
      <c r="I752" s="16" t="n">
        <f aca="false">G752+H752</f>
        <v>224124.691719782</v>
      </c>
    </row>
    <row r="753" customFormat="false" ht="15" hidden="false" customHeight="true" outlineLevel="0" collapsed="false">
      <c r="A753" s="4" t="s">
        <v>304</v>
      </c>
      <c r="B753" s="4" t="n">
        <v>143</v>
      </c>
      <c r="C753" s="24" t="n">
        <f aca="true">RAND()</f>
        <v>0.405672642762127</v>
      </c>
      <c r="D753" s="25" t="n">
        <f aca="false">IF(C753&lt;(($C$8-$B$8)/($D$8-$B$8)),$B$8+SQRT(C753*($D$8-$B$8)*($C$8-$B$8)),$D$8-SQRT((1-C753)*($D$8-$B$8)*($D$8-$C$8)))</f>
        <v>9.10462556643732</v>
      </c>
      <c r="E753" s="26" t="n">
        <f aca="true">MAX(0,$E$8+$F$8*_xlfn.NORM.S.INV(RAND()))</f>
        <v>0</v>
      </c>
      <c r="F753" s="27" t="n">
        <f aca="false">1/(1+EXP(-03_Inputs_Assumptions!$B$14*(E753-03_Inputs_Assumptions!$B$5)))</f>
        <v>0.0052201256935584</v>
      </c>
      <c r="G753" s="28" t="n">
        <f aca="false">D753*04_Baseline_PnL!$B$15*F753*04_Baseline_PnL!$B$14</f>
        <v>13590.4091422695</v>
      </c>
      <c r="H753" s="28" t="n">
        <f aca="false">D753*03_Inputs_Assumptions!$B$13*01_Macro_Data!$B$97*($G$8-1)+D753*04_Baseline_PnL!$B$15*04_Baseline_PnL!$B$13*03_Inputs_Assumptions!$B$15*($H$8-1)</f>
        <v>164287.106525788</v>
      </c>
      <c r="I753" s="16" t="n">
        <f aca="false">G753+H753</f>
        <v>177877.515668058</v>
      </c>
    </row>
    <row r="754" customFormat="false" ht="15" hidden="false" customHeight="true" outlineLevel="0" collapsed="false">
      <c r="A754" s="4" t="s">
        <v>304</v>
      </c>
      <c r="B754" s="4" t="n">
        <v>144</v>
      </c>
      <c r="C754" s="24" t="n">
        <f aca="true">RAND()</f>
        <v>0.226073506827014</v>
      </c>
      <c r="D754" s="25" t="n">
        <f aca="false">IF(C754&lt;(($C$8-$B$8)/($D$8-$B$8)),$B$8+SQRT(C754*($D$8-$B$8)*($C$8-$B$8)),$D$8-SQRT((1-C754)*($D$8-$B$8)*($D$8-$C$8)))</f>
        <v>8.13144743591053</v>
      </c>
      <c r="E754" s="26" t="n">
        <f aca="true">MAX(0,$E$8+$F$8*_xlfn.NORM.S.INV(RAND()))</f>
        <v>0</v>
      </c>
      <c r="F754" s="27" t="n">
        <f aca="false">1/(1+EXP(-03_Inputs_Assumptions!$B$14*(E754-03_Inputs_Assumptions!$B$5)))</f>
        <v>0.0052201256935584</v>
      </c>
      <c r="G754" s="28" t="n">
        <f aca="false">D754*04_Baseline_PnL!$B$15*F754*04_Baseline_PnL!$B$14</f>
        <v>12137.7531416841</v>
      </c>
      <c r="H754" s="28" t="n">
        <f aca="false">D754*03_Inputs_Assumptions!$B$13*01_Macro_Data!$B$97*($G$8-1)+D754*04_Baseline_PnL!$B$15*04_Baseline_PnL!$B$13*03_Inputs_Assumptions!$B$15*($H$8-1)</f>
        <v>146726.733720585</v>
      </c>
      <c r="I754" s="16" t="n">
        <f aca="false">G754+H754</f>
        <v>158864.486862269</v>
      </c>
    </row>
    <row r="755" customFormat="false" ht="15" hidden="false" customHeight="true" outlineLevel="0" collapsed="false">
      <c r="A755" s="4" t="s">
        <v>304</v>
      </c>
      <c r="B755" s="4" t="n">
        <v>145</v>
      </c>
      <c r="C755" s="24" t="n">
        <f aca="true">RAND()</f>
        <v>0.153509169047714</v>
      </c>
      <c r="D755" s="25" t="n">
        <f aca="false">IF(C755&lt;(($C$8-$B$8)/($D$8-$B$8)),$B$8+SQRT(C755*($D$8-$B$8)*($C$8-$B$8)),$D$8-SQRT((1-C755)*($D$8-$B$8)*($D$8-$C$8)))</f>
        <v>7.75219387653144</v>
      </c>
      <c r="E755" s="26" t="n">
        <f aca="true">MAX(0,$E$8+$F$8*_xlfn.NORM.S.INV(RAND()))</f>
        <v>0.432708706385298</v>
      </c>
      <c r="F755" s="27" t="n">
        <f aca="false">1/(1+EXP(-03_Inputs_Assumptions!$B$14*(E755-03_Inputs_Assumptions!$B$5)))</f>
        <v>0.00581303297401924</v>
      </c>
      <c r="G755" s="28" t="n">
        <f aca="false">D755*04_Baseline_PnL!$B$15*F755*04_Baseline_PnL!$B$14</f>
        <v>12885.9633937483</v>
      </c>
      <c r="H755" s="28" t="n">
        <f aca="false">D755*03_Inputs_Assumptions!$B$13*01_Macro_Data!$B$97*($G$8-1)+D755*04_Baseline_PnL!$B$15*04_Baseline_PnL!$B$13*03_Inputs_Assumptions!$B$15*($H$8-1)</f>
        <v>139883.347415971</v>
      </c>
      <c r="I755" s="16" t="n">
        <f aca="false">G755+H755</f>
        <v>152769.310809719</v>
      </c>
    </row>
    <row r="756" customFormat="false" ht="15" hidden="false" customHeight="true" outlineLevel="0" collapsed="false">
      <c r="A756" s="4" t="s">
        <v>304</v>
      </c>
      <c r="B756" s="4" t="n">
        <v>146</v>
      </c>
      <c r="C756" s="24" t="n">
        <f aca="true">RAND()</f>
        <v>0.491944282888456</v>
      </c>
      <c r="D756" s="25" t="n">
        <f aca="false">IF(C756&lt;(($C$8-$B$8)/($D$8-$B$8)),$B$8+SQRT(C756*($D$8-$B$8)*($C$8-$B$8)),$D$8-SQRT((1-C756)*($D$8-$B$8)*($D$8-$C$8)))</f>
        <v>9.62469942913092</v>
      </c>
      <c r="E756" s="26" t="n">
        <f aca="true">MAX(0,$E$8+$F$8*_xlfn.NORM.S.INV(RAND()))</f>
        <v>0.356828770323329</v>
      </c>
      <c r="F756" s="27" t="n">
        <f aca="false">1/(1+EXP(-03_Inputs_Assumptions!$B$14*(E756-03_Inputs_Assumptions!$B$5)))</f>
        <v>0.00570442230436449</v>
      </c>
      <c r="G756" s="28" t="n">
        <f aca="false">D756*04_Baseline_PnL!$B$15*F756*04_Baseline_PnL!$B$14</f>
        <v>15699.590560537</v>
      </c>
      <c r="H756" s="28" t="n">
        <f aca="false">D756*03_Inputs_Assumptions!$B$13*01_Macro_Data!$B$97*($G$8-1)+D756*04_Baseline_PnL!$B$15*04_Baseline_PnL!$B$13*03_Inputs_Assumptions!$B$15*($H$8-1)</f>
        <v>173671.504539539</v>
      </c>
      <c r="I756" s="16" t="n">
        <f aca="false">G756+H756</f>
        <v>189371.095100076</v>
      </c>
    </row>
    <row r="757" customFormat="false" ht="15" hidden="false" customHeight="true" outlineLevel="0" collapsed="false">
      <c r="A757" s="4" t="s">
        <v>304</v>
      </c>
      <c r="B757" s="4" t="n">
        <v>147</v>
      </c>
      <c r="C757" s="24" t="n">
        <f aca="true">RAND()</f>
        <v>0.543507704179738</v>
      </c>
      <c r="D757" s="25" t="n">
        <f aca="false">IF(C757&lt;(($C$8-$B$8)/($D$8-$B$8)),$B$8+SQRT(C757*($D$8-$B$8)*($C$8-$B$8)),$D$8-SQRT((1-C757)*($D$8-$B$8)*($D$8-$C$8)))</f>
        <v>9.95687302254694</v>
      </c>
      <c r="E757" s="26" t="n">
        <f aca="true">MAX(0,$E$8+$F$8*_xlfn.NORM.S.INV(RAND()))</f>
        <v>0.640826973381127</v>
      </c>
      <c r="F757" s="27" t="n">
        <f aca="false">1/(1+EXP(-03_Inputs_Assumptions!$B$14*(E757-03_Inputs_Assumptions!$B$5)))</f>
        <v>0.00612158849036914</v>
      </c>
      <c r="G757" s="28" t="n">
        <f aca="false">D757*04_Baseline_PnL!$B$15*F757*04_Baseline_PnL!$B$14</f>
        <v>17429.1650171793</v>
      </c>
      <c r="H757" s="28" t="n">
        <f aca="false">D757*03_Inputs_Assumptions!$B$13*01_Macro_Data!$B$97*($G$8-1)+D757*04_Baseline_PnL!$B$15*04_Baseline_PnL!$B$13*03_Inputs_Assumptions!$B$15*($H$8-1)</f>
        <v>179665.36316979</v>
      </c>
      <c r="I757" s="16" t="n">
        <f aca="false">G757+H757</f>
        <v>197094.528186969</v>
      </c>
    </row>
    <row r="758" customFormat="false" ht="15" hidden="false" customHeight="true" outlineLevel="0" collapsed="false">
      <c r="A758" s="4" t="s">
        <v>304</v>
      </c>
      <c r="B758" s="4" t="n">
        <v>148</v>
      </c>
      <c r="C758" s="24" t="n">
        <f aca="true">RAND()</f>
        <v>0.851074008154038</v>
      </c>
      <c r="D758" s="25" t="n">
        <f aca="false">IF(C758&lt;(($C$8-$B$8)/($D$8-$B$8)),$B$8+SQRT(C758*($D$8-$B$8)*($C$8-$B$8)),$D$8-SQRT((1-C758)*($D$8-$B$8)*($D$8-$C$8)))</f>
        <v>12.5483222416226</v>
      </c>
      <c r="E758" s="26" t="n">
        <f aca="true">MAX(0,$E$8+$F$8*_xlfn.NORM.S.INV(RAND()))</f>
        <v>0.0764996346088239</v>
      </c>
      <c r="F758" s="27" t="n">
        <f aca="false">1/(1+EXP(-03_Inputs_Assumptions!$B$14*(E758-03_Inputs_Assumptions!$B$5)))</f>
        <v>0.00532038462864573</v>
      </c>
      <c r="G758" s="28" t="n">
        <f aca="false">D758*04_Baseline_PnL!$B$15*F758*04_Baseline_PnL!$B$14</f>
        <v>19090.5382875019</v>
      </c>
      <c r="H758" s="28" t="n">
        <f aca="false">D758*03_Inputs_Assumptions!$B$13*01_Macro_Data!$B$97*($G$8-1)+D758*04_Baseline_PnL!$B$15*04_Baseline_PnL!$B$13*03_Inputs_Assumptions!$B$15*($H$8-1)</f>
        <v>226426.39587825</v>
      </c>
      <c r="I758" s="16" t="n">
        <f aca="false">G758+H758</f>
        <v>245516.934165752</v>
      </c>
    </row>
    <row r="759" customFormat="false" ht="15" hidden="false" customHeight="true" outlineLevel="0" collapsed="false">
      <c r="A759" s="4" t="s">
        <v>304</v>
      </c>
      <c r="B759" s="4" t="n">
        <v>149</v>
      </c>
      <c r="C759" s="24" t="n">
        <f aca="true">RAND()</f>
        <v>0.574964100675197</v>
      </c>
      <c r="D759" s="25" t="n">
        <f aca="false">IF(C759&lt;(($C$8-$B$8)/($D$8-$B$8)),$B$8+SQRT(C759*($D$8-$B$8)*($C$8-$B$8)),$D$8-SQRT((1-C759)*($D$8-$B$8)*($D$8-$C$8)))</f>
        <v>10.1688018430185</v>
      </c>
      <c r="E759" s="26" t="n">
        <f aca="true">MAX(0,$E$8+$F$8*_xlfn.NORM.S.INV(RAND()))</f>
        <v>0</v>
      </c>
      <c r="F759" s="27" t="n">
        <f aca="false">1/(1+EXP(-03_Inputs_Assumptions!$B$14*(E759-03_Inputs_Assumptions!$B$5)))</f>
        <v>0.0052201256935584</v>
      </c>
      <c r="G759" s="28" t="n">
        <f aca="false">D759*04_Baseline_PnL!$B$15*F759*04_Baseline_PnL!$B$14</f>
        <v>15178.8974214085</v>
      </c>
      <c r="H759" s="28" t="n">
        <f aca="false">D759*03_Inputs_Assumptions!$B$13*01_Macro_Data!$B$97*($G$8-1)+D759*04_Baseline_PnL!$B$15*04_Baseline_PnL!$B$13*03_Inputs_Assumptions!$B$15*($H$8-1)</f>
        <v>183489.482289312</v>
      </c>
      <c r="I759" s="16" t="n">
        <f aca="false">G759+H759</f>
        <v>198668.37971072</v>
      </c>
    </row>
    <row r="760" customFormat="false" ht="15" hidden="false" customHeight="true" outlineLevel="0" collapsed="false">
      <c r="A760" s="4" t="s">
        <v>304</v>
      </c>
      <c r="B760" s="4" t="n">
        <v>150</v>
      </c>
      <c r="C760" s="24" t="n">
        <f aca="true">RAND()</f>
        <v>0.0574104611045279</v>
      </c>
      <c r="D760" s="25" t="n">
        <f aca="false">IF(C760&lt;(($C$8-$B$8)/($D$8-$B$8)),$B$8+SQRT(C760*($D$8-$B$8)*($C$8-$B$8)),$D$8-SQRT((1-C760)*($D$8-$B$8)*($D$8-$C$8)))</f>
        <v>7.0715452496701</v>
      </c>
      <c r="E760" s="26" t="n">
        <f aca="true">MAX(0,$E$8+$F$8*_xlfn.NORM.S.INV(RAND()))</f>
        <v>0</v>
      </c>
      <c r="F760" s="27" t="n">
        <f aca="false">1/(1+EXP(-03_Inputs_Assumptions!$B$14*(E760-03_Inputs_Assumptions!$B$5)))</f>
        <v>0.0052201256935584</v>
      </c>
      <c r="G760" s="28" t="n">
        <f aca="false">D760*04_Baseline_PnL!$B$15*F760*04_Baseline_PnL!$B$14</f>
        <v>10555.6447664761</v>
      </c>
      <c r="H760" s="28" t="n">
        <f aca="false">D760*03_Inputs_Assumptions!$B$13*01_Macro_Data!$B$97*($G$8-1)+D760*04_Baseline_PnL!$B$15*04_Baseline_PnL!$B$13*03_Inputs_Assumptions!$B$15*($H$8-1)</f>
        <v>127601.481165478</v>
      </c>
      <c r="I760" s="16" t="n">
        <f aca="false">G760+H760</f>
        <v>138157.125931954</v>
      </c>
    </row>
    <row r="761" customFormat="false" ht="15" hidden="false" customHeight="true" outlineLevel="0" collapsed="false">
      <c r="A761" s="4" t="s">
        <v>304</v>
      </c>
      <c r="B761" s="4" t="n">
        <v>151</v>
      </c>
      <c r="C761" s="24" t="n">
        <f aca="true">RAND()</f>
        <v>0.794761842971488</v>
      </c>
      <c r="D761" s="25" t="n">
        <f aca="false">IF(C761&lt;(($C$8-$B$8)/($D$8-$B$8)),$B$8+SQRT(C761*($D$8-$B$8)*($C$8-$B$8)),$D$8-SQRT((1-C761)*($D$8-$B$8)*($D$8-$C$8)))</f>
        <v>11.947956989088</v>
      </c>
      <c r="E761" s="26" t="n">
        <f aca="true">MAX(0,$E$8+$F$8*_xlfn.NORM.S.INV(RAND()))</f>
        <v>0</v>
      </c>
      <c r="F761" s="27" t="n">
        <f aca="false">1/(1+EXP(-03_Inputs_Assumptions!$B$14*(E761-03_Inputs_Assumptions!$B$5)))</f>
        <v>0.0052201256935584</v>
      </c>
      <c r="G761" s="28" t="n">
        <f aca="false">D761*04_Baseline_PnL!$B$15*F761*04_Baseline_PnL!$B$14</f>
        <v>17834.6295200235</v>
      </c>
      <c r="H761" s="28" t="n">
        <f aca="false">D761*03_Inputs_Assumptions!$B$13*01_Macro_Data!$B$97*($G$8-1)+D761*04_Baseline_PnL!$B$15*04_Baseline_PnL!$B$13*03_Inputs_Assumptions!$B$15*($H$8-1)</f>
        <v>215593.19142873</v>
      </c>
      <c r="I761" s="16" t="n">
        <f aca="false">G761+H761</f>
        <v>233427.820948754</v>
      </c>
    </row>
    <row r="762" customFormat="false" ht="15" hidden="false" customHeight="true" outlineLevel="0" collapsed="false">
      <c r="A762" s="4" t="s">
        <v>304</v>
      </c>
      <c r="B762" s="4" t="n">
        <v>152</v>
      </c>
      <c r="C762" s="24" t="n">
        <f aca="true">RAND()</f>
        <v>0.362694849108988</v>
      </c>
      <c r="D762" s="25" t="n">
        <f aca="false">IF(C762&lt;(($C$8-$B$8)/($D$8-$B$8)),$B$8+SQRT(C762*($D$8-$B$8)*($C$8-$B$8)),$D$8-SQRT((1-C762)*($D$8-$B$8)*($D$8-$C$8)))</f>
        <v>8.8596630281701</v>
      </c>
      <c r="E762" s="26" t="n">
        <f aca="true">MAX(0,$E$8+$F$8*_xlfn.NORM.S.INV(RAND()))</f>
        <v>0</v>
      </c>
      <c r="F762" s="27" t="n">
        <f aca="false">1/(1+EXP(-03_Inputs_Assumptions!$B$14*(E762-03_Inputs_Assumptions!$B$5)))</f>
        <v>0.0052201256935584</v>
      </c>
      <c r="G762" s="28" t="n">
        <f aca="false">D762*04_Baseline_PnL!$B$15*F762*04_Baseline_PnL!$B$14</f>
        <v>13224.7553221</v>
      </c>
      <c r="H762" s="28" t="n">
        <f aca="false">D762*03_Inputs_Assumptions!$B$13*01_Macro_Data!$B$97*($G$8-1)+D762*04_Baseline_PnL!$B$15*04_Baseline_PnL!$B$13*03_Inputs_Assumptions!$B$15*($H$8-1)</f>
        <v>159866.915236705</v>
      </c>
      <c r="I762" s="16" t="n">
        <f aca="false">G762+H762</f>
        <v>173091.670558805</v>
      </c>
    </row>
    <row r="763" customFormat="false" ht="15" hidden="false" customHeight="true" outlineLevel="0" collapsed="false">
      <c r="A763" s="4" t="s">
        <v>304</v>
      </c>
      <c r="B763" s="4" t="n">
        <v>153</v>
      </c>
      <c r="C763" s="24" t="n">
        <f aca="true">RAND()</f>
        <v>0.391570980384329</v>
      </c>
      <c r="D763" s="25" t="n">
        <f aca="false">IF(C763&lt;(($C$8-$B$8)/($D$8-$B$8)),$B$8+SQRT(C763*($D$8-$B$8)*($C$8-$B$8)),$D$8-SQRT((1-C763)*($D$8-$B$8)*($D$8-$C$8)))</f>
        <v>9.02330152799667</v>
      </c>
      <c r="E763" s="26" t="n">
        <f aca="true">MAX(0,$E$8+$F$8*_xlfn.NORM.S.INV(RAND()))</f>
        <v>0.486708111210192</v>
      </c>
      <c r="F763" s="27" t="n">
        <f aca="false">1/(1+EXP(-03_Inputs_Assumptions!$B$14*(E763-03_Inputs_Assumptions!$B$5)))</f>
        <v>0.00589157467021455</v>
      </c>
      <c r="G763" s="28" t="n">
        <f aca="false">D763*04_Baseline_PnL!$B$15*F763*04_Baseline_PnL!$B$14</f>
        <v>15201.4962894919</v>
      </c>
      <c r="H763" s="28" t="n">
        <f aca="false">D763*03_Inputs_Assumptions!$B$13*01_Macro_Data!$B$97*($G$8-1)+D763*04_Baseline_PnL!$B$15*04_Baseline_PnL!$B$13*03_Inputs_Assumptions!$B$15*($H$8-1)</f>
        <v>162819.666610888</v>
      </c>
      <c r="I763" s="16" t="n">
        <f aca="false">G763+H763</f>
        <v>178021.16290038</v>
      </c>
    </row>
    <row r="764" customFormat="false" ht="15" hidden="false" customHeight="true" outlineLevel="0" collapsed="false">
      <c r="A764" s="4" t="s">
        <v>304</v>
      </c>
      <c r="B764" s="4" t="n">
        <v>154</v>
      </c>
      <c r="C764" s="24" t="n">
        <f aca="true">RAND()</f>
        <v>0.0370855193556571</v>
      </c>
      <c r="D764" s="25" t="n">
        <f aca="false">IF(C764&lt;(($C$8-$B$8)/($D$8-$B$8)),$B$8+SQRT(C764*($D$8-$B$8)*($C$8-$B$8)),$D$8-SQRT((1-C764)*($D$8-$B$8)*($D$8-$C$8)))</f>
        <v>6.86122609523466</v>
      </c>
      <c r="E764" s="26" t="n">
        <f aca="true">MAX(0,$E$8+$F$8*_xlfn.NORM.S.INV(RAND()))</f>
        <v>0.687622949340815</v>
      </c>
      <c r="F764" s="27" t="n">
        <f aca="false">1/(1+EXP(-03_Inputs_Assumptions!$B$14*(E764-03_Inputs_Assumptions!$B$5)))</f>
        <v>0.00619317933786807</v>
      </c>
      <c r="G764" s="28" t="n">
        <f aca="false">D764*04_Baseline_PnL!$B$15*F764*04_Baseline_PnL!$B$14</f>
        <v>12150.7998776073</v>
      </c>
      <c r="H764" s="28" t="n">
        <f aca="false">D764*03_Inputs_Assumptions!$B$13*01_Macro_Data!$B$97*($G$8-1)+D764*04_Baseline_PnL!$B$15*04_Baseline_PnL!$B$13*03_Inputs_Assumptions!$B$15*($H$8-1)</f>
        <v>123806.407433229</v>
      </c>
      <c r="I764" s="16" t="n">
        <f aca="false">G764+H764</f>
        <v>135957.207310837</v>
      </c>
    </row>
    <row r="765" customFormat="false" ht="15" hidden="false" customHeight="true" outlineLevel="0" collapsed="false">
      <c r="A765" s="4" t="s">
        <v>304</v>
      </c>
      <c r="B765" s="4" t="n">
        <v>155</v>
      </c>
      <c r="C765" s="24" t="n">
        <f aca="true">RAND()</f>
        <v>0.634880877883326</v>
      </c>
      <c r="D765" s="25" t="n">
        <f aca="false">IF(C765&lt;(($C$8-$B$8)/($D$8-$B$8)),$B$8+SQRT(C765*($D$8-$B$8)*($C$8-$B$8)),$D$8-SQRT((1-C765)*($D$8-$B$8)*($D$8-$C$8)))</f>
        <v>10.5954158560224</v>
      </c>
      <c r="E765" s="26" t="n">
        <f aca="true">MAX(0,$E$8+$F$8*_xlfn.NORM.S.INV(RAND()))</f>
        <v>0</v>
      </c>
      <c r="F765" s="27" t="n">
        <f aca="false">1/(1+EXP(-03_Inputs_Assumptions!$B$14*(E765-03_Inputs_Assumptions!$B$5)))</f>
        <v>0.0052201256935584</v>
      </c>
      <c r="G765" s="28" t="n">
        <f aca="false">D765*04_Baseline_PnL!$B$15*F765*04_Baseline_PnL!$B$14</f>
        <v>15815.7010922724</v>
      </c>
      <c r="H765" s="28" t="n">
        <f aca="false">D765*03_Inputs_Assumptions!$B$13*01_Macro_Data!$B$97*($G$8-1)+D765*04_Baseline_PnL!$B$15*04_Baseline_PnL!$B$13*03_Inputs_Assumptions!$B$15*($H$8-1)</f>
        <v>191187.457487559</v>
      </c>
      <c r="I765" s="16" t="n">
        <f aca="false">G765+H765</f>
        <v>207003.158579832</v>
      </c>
    </row>
    <row r="766" customFormat="false" ht="15" hidden="false" customHeight="true" outlineLevel="0" collapsed="false">
      <c r="A766" s="4" t="s">
        <v>304</v>
      </c>
      <c r="B766" s="4" t="n">
        <v>156</v>
      </c>
      <c r="C766" s="24" t="n">
        <f aca="true">RAND()</f>
        <v>0.500553756586463</v>
      </c>
      <c r="D766" s="25" t="n">
        <f aca="false">IF(C766&lt;(($C$8-$B$8)/($D$8-$B$8)),$B$8+SQRT(C766*($D$8-$B$8)*($C$8-$B$8)),$D$8-SQRT((1-C766)*($D$8-$B$8)*($D$8-$C$8)))</f>
        <v>9.6789479140666</v>
      </c>
      <c r="E766" s="26" t="n">
        <f aca="true">MAX(0,$E$8+$F$8*_xlfn.NORM.S.INV(RAND()))</f>
        <v>0</v>
      </c>
      <c r="F766" s="27" t="n">
        <f aca="false">1/(1+EXP(-03_Inputs_Assumptions!$B$14*(E766-03_Inputs_Assumptions!$B$5)))</f>
        <v>0.0052201256935584</v>
      </c>
      <c r="G766" s="28" t="n">
        <f aca="false">D766*04_Baseline_PnL!$B$15*F766*04_Baseline_PnL!$B$14</f>
        <v>14447.6959825546</v>
      </c>
      <c r="H766" s="28" t="n">
        <f aca="false">D766*03_Inputs_Assumptions!$B$13*01_Macro_Data!$B$97*($G$8-1)+D766*04_Baseline_PnL!$B$15*04_Baseline_PnL!$B$13*03_Inputs_Assumptions!$B$15*($H$8-1)</f>
        <v>174650.383523464</v>
      </c>
      <c r="I766" s="16" t="n">
        <f aca="false">G766+H766</f>
        <v>189098.079506019</v>
      </c>
    </row>
    <row r="767" customFormat="false" ht="15" hidden="false" customHeight="true" outlineLevel="0" collapsed="false">
      <c r="A767" s="4" t="s">
        <v>304</v>
      </c>
      <c r="B767" s="4" t="n">
        <v>157</v>
      </c>
      <c r="C767" s="24" t="n">
        <f aca="true">RAND()</f>
        <v>0.497362763136228</v>
      </c>
      <c r="D767" s="25" t="n">
        <f aca="false">IF(C767&lt;(($C$8-$B$8)/($D$8-$B$8)),$B$8+SQRT(C767*($D$8-$B$8)*($C$8-$B$8)),$D$8-SQRT((1-C767)*($D$8-$B$8)*($D$8-$C$8)))</f>
        <v>9.65878726511231</v>
      </c>
      <c r="E767" s="26" t="n">
        <f aca="true">MAX(0,$E$8+$F$8*_xlfn.NORM.S.INV(RAND()))</f>
        <v>0.549640117722975</v>
      </c>
      <c r="F767" s="27" t="n">
        <f aca="false">1/(1+EXP(-03_Inputs_Assumptions!$B$14*(E767-03_Inputs_Assumptions!$B$5)))</f>
        <v>0.00598444072875171</v>
      </c>
      <c r="G767" s="28" t="n">
        <f aca="false">D767*04_Baseline_PnL!$B$15*F767*04_Baseline_PnL!$B$14</f>
        <v>16528.5841070315</v>
      </c>
      <c r="H767" s="28" t="n">
        <f aca="false">D767*03_Inputs_Assumptions!$B$13*01_Macro_Data!$B$97*($G$8-1)+D767*04_Baseline_PnL!$B$15*04_Baseline_PnL!$B$13*03_Inputs_Assumptions!$B$15*($H$8-1)</f>
        <v>174286.597593091</v>
      </c>
      <c r="I767" s="16" t="n">
        <f aca="false">G767+H767</f>
        <v>190815.181700123</v>
      </c>
    </row>
    <row r="768" customFormat="false" ht="15" hidden="false" customHeight="true" outlineLevel="0" collapsed="false">
      <c r="A768" s="4" t="s">
        <v>304</v>
      </c>
      <c r="B768" s="4" t="n">
        <v>158</v>
      </c>
      <c r="C768" s="24" t="n">
        <f aca="true">RAND()</f>
        <v>0.588981290638223</v>
      </c>
      <c r="D768" s="25" t="n">
        <f aca="false">IF(C768&lt;(($C$8-$B$8)/($D$8-$B$8)),$B$8+SQRT(C768*($D$8-$B$8)*($C$8-$B$8)),$D$8-SQRT((1-C768)*($D$8-$B$8)*($D$8-$C$8)))</f>
        <v>10.2657610139669</v>
      </c>
      <c r="E768" s="26" t="n">
        <f aca="true">MAX(0,$E$8+$F$8*_xlfn.NORM.S.INV(RAND()))</f>
        <v>0</v>
      </c>
      <c r="F768" s="27" t="n">
        <f aca="false">1/(1+EXP(-03_Inputs_Assumptions!$B$14*(E768-03_Inputs_Assumptions!$B$5)))</f>
        <v>0.0052201256935584</v>
      </c>
      <c r="G768" s="28" t="n">
        <f aca="false">D768*04_Baseline_PnL!$B$15*F768*04_Baseline_PnL!$B$14</f>
        <v>15323.6276789757</v>
      </c>
      <c r="H768" s="28" t="n">
        <f aca="false">D768*03_Inputs_Assumptions!$B$13*01_Macro_Data!$B$97*($G$8-1)+D768*04_Baseline_PnL!$B$15*04_Baseline_PnL!$B$13*03_Inputs_Assumptions!$B$15*($H$8-1)</f>
        <v>185239.048103964</v>
      </c>
      <c r="I768" s="16" t="n">
        <f aca="false">G768+H768</f>
        <v>200562.67578294</v>
      </c>
    </row>
    <row r="769" customFormat="false" ht="15" hidden="false" customHeight="true" outlineLevel="0" collapsed="false">
      <c r="A769" s="4" t="s">
        <v>304</v>
      </c>
      <c r="B769" s="4" t="n">
        <v>159</v>
      </c>
      <c r="C769" s="24" t="n">
        <f aca="true">RAND()</f>
        <v>0.062142388099065</v>
      </c>
      <c r="D769" s="25" t="n">
        <f aca="false">IF(C769&lt;(($C$8-$B$8)/($D$8-$B$8)),$B$8+SQRT(C769*($D$8-$B$8)*($C$8-$B$8)),$D$8-SQRT((1-C769)*($D$8-$B$8)*($D$8-$C$8)))</f>
        <v>7.1148308221346</v>
      </c>
      <c r="E769" s="26" t="n">
        <f aca="true">MAX(0,$E$8+$F$8*_xlfn.NORM.S.INV(RAND()))</f>
        <v>0</v>
      </c>
      <c r="F769" s="27" t="n">
        <f aca="false">1/(1+EXP(-03_Inputs_Assumptions!$B$14*(E769-03_Inputs_Assumptions!$B$5)))</f>
        <v>0.0052201256935584</v>
      </c>
      <c r="G769" s="28" t="n">
        <f aca="false">D769*04_Baseline_PnL!$B$15*F769*04_Baseline_PnL!$B$14</f>
        <v>10620.2568293728</v>
      </c>
      <c r="H769" s="28" t="n">
        <f aca="false">D769*03_Inputs_Assumptions!$B$13*01_Macro_Data!$B$97*($G$8-1)+D769*04_Baseline_PnL!$B$15*04_Baseline_PnL!$B$13*03_Inputs_Assumptions!$B$15*($H$8-1)</f>
        <v>128382.5414521</v>
      </c>
      <c r="I769" s="16" t="n">
        <f aca="false">G769+H769</f>
        <v>139002.798281473</v>
      </c>
    </row>
    <row r="770" customFormat="false" ht="15" hidden="false" customHeight="true" outlineLevel="0" collapsed="false">
      <c r="A770" s="4" t="s">
        <v>304</v>
      </c>
      <c r="B770" s="4" t="n">
        <v>160</v>
      </c>
      <c r="C770" s="24" t="n">
        <f aca="true">RAND()</f>
        <v>0.729328994396332</v>
      </c>
      <c r="D770" s="25" t="n">
        <f aca="false">IF(C770&lt;(($C$8-$B$8)/($D$8-$B$8)),$B$8+SQRT(C770*($D$8-$B$8)*($C$8-$B$8)),$D$8-SQRT((1-C770)*($D$8-$B$8)*($D$8-$C$8)))</f>
        <v>11.3466484714463</v>
      </c>
      <c r="E770" s="26" t="n">
        <f aca="true">MAX(0,$E$8+$F$8*_xlfn.NORM.S.INV(RAND()))</f>
        <v>0</v>
      </c>
      <c r="F770" s="27" t="n">
        <f aca="false">1/(1+EXP(-03_Inputs_Assumptions!$B$14*(E770-03_Inputs_Assumptions!$B$5)))</f>
        <v>0.0052201256935584</v>
      </c>
      <c r="G770" s="28" t="n">
        <f aca="false">D770*04_Baseline_PnL!$B$15*F770*04_Baseline_PnL!$B$14</f>
        <v>16937.0606177276</v>
      </c>
      <c r="H770" s="28" t="n">
        <f aca="false">D770*03_Inputs_Assumptions!$B$13*01_Macro_Data!$B$97*($G$8-1)+D770*04_Baseline_PnL!$B$15*04_Baseline_PnL!$B$13*03_Inputs_Assumptions!$B$15*($H$8-1)</f>
        <v>204742.966367655</v>
      </c>
      <c r="I770" s="16" t="n">
        <f aca="false">G770+H770</f>
        <v>221680.026985382</v>
      </c>
    </row>
    <row r="771" customFormat="false" ht="15" hidden="false" customHeight="true" outlineLevel="0" collapsed="false">
      <c r="A771" s="4" t="s">
        <v>304</v>
      </c>
      <c r="B771" s="4" t="n">
        <v>161</v>
      </c>
      <c r="C771" s="24" t="n">
        <f aca="true">RAND()</f>
        <v>0.921647391152064</v>
      </c>
      <c r="D771" s="25" t="n">
        <f aca="false">IF(C771&lt;(($C$8-$B$8)/($D$8-$B$8)),$B$8+SQRT(C771*($D$8-$B$8)*($C$8-$B$8)),$D$8-SQRT((1-C771)*($D$8-$B$8)*($D$8-$C$8)))</f>
        <v>13.4963609070326</v>
      </c>
      <c r="E771" s="26" t="n">
        <f aca="true">MAX(0,$E$8+$F$8*_xlfn.NORM.S.INV(RAND()))</f>
        <v>0</v>
      </c>
      <c r="F771" s="27" t="n">
        <f aca="false">1/(1+EXP(-03_Inputs_Assumptions!$B$14*(E771-03_Inputs_Assumptions!$B$5)))</f>
        <v>0.0052201256935584</v>
      </c>
      <c r="G771" s="28" t="n">
        <f aca="false">D771*04_Baseline_PnL!$B$15*F771*04_Baseline_PnL!$B$14</f>
        <v>20145.9209189727</v>
      </c>
      <c r="H771" s="28" t="n">
        <f aca="false">D771*03_Inputs_Assumptions!$B$13*01_Macro_Data!$B$97*($G$8-1)+D771*04_Baseline_PnL!$B$15*04_Baseline_PnL!$B$13*03_Inputs_Assumptions!$B$15*($H$8-1)</f>
        <v>243533.143220932</v>
      </c>
      <c r="I771" s="16" t="n">
        <f aca="false">G771+H771</f>
        <v>263679.064139905</v>
      </c>
    </row>
    <row r="772" customFormat="false" ht="15" hidden="false" customHeight="true" outlineLevel="0" collapsed="false">
      <c r="A772" s="4" t="s">
        <v>304</v>
      </c>
      <c r="B772" s="4" t="n">
        <v>162</v>
      </c>
      <c r="C772" s="24" t="n">
        <f aca="true">RAND()</f>
        <v>0.988651219280503</v>
      </c>
      <c r="D772" s="25" t="n">
        <f aca="false">IF(C772&lt;(($C$8-$B$8)/($D$8-$B$8)),$B$8+SQRT(C772*($D$8-$B$8)*($C$8-$B$8)),$D$8-SQRT((1-C772)*($D$8-$B$8)*($D$8-$C$8)))</f>
        <v>15.0471608438148</v>
      </c>
      <c r="E772" s="26" t="n">
        <f aca="true">MAX(0,$E$8+$F$8*_xlfn.NORM.S.INV(RAND()))</f>
        <v>0</v>
      </c>
      <c r="F772" s="27" t="n">
        <f aca="false">1/(1+EXP(-03_Inputs_Assumptions!$B$14*(E772-03_Inputs_Assumptions!$B$5)))</f>
        <v>0.0052201256935584</v>
      </c>
      <c r="G772" s="28" t="n">
        <f aca="false">D772*04_Baseline_PnL!$B$15*F772*04_Baseline_PnL!$B$14</f>
        <v>22460.7888380192</v>
      </c>
      <c r="H772" s="28" t="n">
        <f aca="false">D772*03_Inputs_Assumptions!$B$13*01_Macro_Data!$B$97*($G$8-1)+D772*04_Baseline_PnL!$B$15*04_Baseline_PnL!$B$13*03_Inputs_Assumptions!$B$15*($H$8-1)</f>
        <v>271516.329630434</v>
      </c>
      <c r="I772" s="16" t="n">
        <f aca="false">G772+H772</f>
        <v>293977.118468453</v>
      </c>
    </row>
    <row r="773" customFormat="false" ht="15" hidden="false" customHeight="true" outlineLevel="0" collapsed="false">
      <c r="A773" s="4" t="s">
        <v>304</v>
      </c>
      <c r="B773" s="4" t="n">
        <v>163</v>
      </c>
      <c r="C773" s="24" t="n">
        <f aca="true">RAND()</f>
        <v>0.965995531096119</v>
      </c>
      <c r="D773" s="25" t="n">
        <f aca="false">IF(C773&lt;(($C$8-$B$8)/($D$8-$B$8)),$B$8+SQRT(C773*($D$8-$B$8)*($C$8-$B$8)),$D$8-SQRT((1-C773)*($D$8-$B$8)*($D$8-$C$8)))</f>
        <v>14.3506493664747</v>
      </c>
      <c r="E773" s="26" t="n">
        <f aca="true">MAX(0,$E$8+$F$8*_xlfn.NORM.S.INV(RAND()))</f>
        <v>0</v>
      </c>
      <c r="F773" s="27" t="n">
        <f aca="false">1/(1+EXP(-03_Inputs_Assumptions!$B$14*(E773-03_Inputs_Assumptions!$B$5)))</f>
        <v>0.0052201256935584</v>
      </c>
      <c r="G773" s="28" t="n">
        <f aca="false">D773*04_Baseline_PnL!$B$15*F773*04_Baseline_PnL!$B$14</f>
        <v>21421.1111620658</v>
      </c>
      <c r="H773" s="28" t="n">
        <f aca="false">D773*03_Inputs_Assumptions!$B$13*01_Macro_Data!$B$97*($G$8-1)+D773*04_Baseline_PnL!$B$15*04_Baseline_PnL!$B$13*03_Inputs_Assumptions!$B$15*($H$8-1)</f>
        <v>258948.228456012</v>
      </c>
      <c r="I773" s="16" t="n">
        <f aca="false">G773+H773</f>
        <v>280369.339618078</v>
      </c>
    </row>
    <row r="774" customFormat="false" ht="15" hidden="false" customHeight="true" outlineLevel="0" collapsed="false">
      <c r="A774" s="4" t="s">
        <v>304</v>
      </c>
      <c r="B774" s="4" t="n">
        <v>164</v>
      </c>
      <c r="C774" s="24" t="n">
        <f aca="true">RAND()</f>
        <v>0.828530626269809</v>
      </c>
      <c r="D774" s="25" t="n">
        <f aca="false">IF(C774&lt;(($C$8-$B$8)/($D$8-$B$8)),$B$8+SQRT(C774*($D$8-$B$8)*($C$8-$B$8)),$D$8-SQRT((1-C774)*($D$8-$B$8)*($D$8-$C$8)))</f>
        <v>12.2962789119029</v>
      </c>
      <c r="E774" s="26" t="n">
        <f aca="true">MAX(0,$E$8+$F$8*_xlfn.NORM.S.INV(RAND()))</f>
        <v>0</v>
      </c>
      <c r="F774" s="27" t="n">
        <f aca="false">1/(1+EXP(-03_Inputs_Assumptions!$B$14*(E774-03_Inputs_Assumptions!$B$5)))</f>
        <v>0.0052201256935584</v>
      </c>
      <c r="G774" s="28" t="n">
        <f aca="false">D774*04_Baseline_PnL!$B$15*F774*04_Baseline_PnL!$B$14</f>
        <v>18354.5671505975</v>
      </c>
      <c r="H774" s="28" t="n">
        <f aca="false">D774*03_Inputs_Assumptions!$B$13*01_Macro_Data!$B$97*($G$8-1)+D774*04_Baseline_PnL!$B$15*04_Baseline_PnL!$B$13*03_Inputs_Assumptions!$B$15*($H$8-1)</f>
        <v>221878.436266224</v>
      </c>
      <c r="I774" s="16" t="n">
        <f aca="false">G774+H774</f>
        <v>240233.003416821</v>
      </c>
    </row>
    <row r="775" customFormat="false" ht="15" hidden="false" customHeight="true" outlineLevel="0" collapsed="false">
      <c r="A775" s="4" t="s">
        <v>304</v>
      </c>
      <c r="B775" s="4" t="n">
        <v>165</v>
      </c>
      <c r="C775" s="24" t="n">
        <f aca="true">RAND()</f>
        <v>0.673519703612768</v>
      </c>
      <c r="D775" s="25" t="n">
        <f aca="false">IF(C775&lt;(($C$8-$B$8)/($D$8-$B$8)),$B$8+SQRT(C775*($D$8-$B$8)*($C$8-$B$8)),$D$8-SQRT((1-C775)*($D$8-$B$8)*($D$8-$C$8)))</f>
        <v>10.8893812790447</v>
      </c>
      <c r="E775" s="26" t="n">
        <f aca="true">MAX(0,$E$8+$F$8*_xlfn.NORM.S.INV(RAND()))</f>
        <v>0</v>
      </c>
      <c r="F775" s="27" t="n">
        <f aca="false">1/(1+EXP(-03_Inputs_Assumptions!$B$14*(E775-03_Inputs_Assumptions!$B$5)))</f>
        <v>0.0052201256935584</v>
      </c>
      <c r="G775" s="28" t="n">
        <f aca="false">D775*04_Baseline_PnL!$B$15*F775*04_Baseline_PnL!$B$14</f>
        <v>16254.5011663008</v>
      </c>
      <c r="H775" s="28" t="n">
        <f aca="false">D775*03_Inputs_Assumptions!$B$13*01_Macro_Data!$B$97*($G$8-1)+D775*04_Baseline_PnL!$B$15*04_Baseline_PnL!$B$13*03_Inputs_Assumptions!$B$15*($H$8-1)</f>
        <v>196491.874282578</v>
      </c>
      <c r="I775" s="16" t="n">
        <f aca="false">G775+H775</f>
        <v>212746.375448878</v>
      </c>
    </row>
    <row r="776" customFormat="false" ht="15" hidden="false" customHeight="true" outlineLevel="0" collapsed="false">
      <c r="A776" s="4" t="s">
        <v>304</v>
      </c>
      <c r="B776" s="4" t="n">
        <v>166</v>
      </c>
      <c r="C776" s="24" t="n">
        <f aca="true">RAND()</f>
        <v>0.444970547197818</v>
      </c>
      <c r="D776" s="25" t="n">
        <f aca="false">IF(C776&lt;(($C$8-$B$8)/($D$8-$B$8)),$B$8+SQRT(C776*($D$8-$B$8)*($C$8-$B$8)),$D$8-SQRT((1-C776)*($D$8-$B$8)*($D$8-$C$8)))</f>
        <v>9.33649069752472</v>
      </c>
      <c r="E776" s="26" t="n">
        <f aca="true">MAX(0,$E$8+$F$8*_xlfn.NORM.S.INV(RAND()))</f>
        <v>0.0360741800471878</v>
      </c>
      <c r="F776" s="27" t="n">
        <f aca="false">1/(1+EXP(-03_Inputs_Assumptions!$B$14*(E776-03_Inputs_Assumptions!$B$5)))</f>
        <v>0.00526716747005447</v>
      </c>
      <c r="G776" s="28" t="n">
        <f aca="false">D776*04_Baseline_PnL!$B$15*F776*04_Baseline_PnL!$B$14</f>
        <v>14062.1030785124</v>
      </c>
      <c r="H776" s="28" t="n">
        <f aca="false">D776*03_Inputs_Assumptions!$B$13*01_Macro_Data!$B$97*($G$8-1)+D776*04_Baseline_PnL!$B$15*04_Baseline_PnL!$B$13*03_Inputs_Assumptions!$B$15*($H$8-1)</f>
        <v>168470.963534801</v>
      </c>
      <c r="I776" s="16" t="n">
        <f aca="false">G776+H776</f>
        <v>182533.066613313</v>
      </c>
    </row>
    <row r="777" customFormat="false" ht="15" hidden="false" customHeight="true" outlineLevel="0" collapsed="false">
      <c r="A777" s="4" t="s">
        <v>304</v>
      </c>
      <c r="B777" s="4" t="n">
        <v>167</v>
      </c>
      <c r="C777" s="24" t="n">
        <f aca="true">RAND()</f>
        <v>0.912043394444488</v>
      </c>
      <c r="D777" s="25" t="n">
        <f aca="false">IF(C777&lt;(($C$8-$B$8)/($D$8-$B$8)),$B$8+SQRT(C777*($D$8-$B$8)*($C$8-$B$8)),$D$8-SQRT((1-C777)*($D$8-$B$8)*($D$8-$C$8)))</f>
        <v>13.3473544442499</v>
      </c>
      <c r="E777" s="26" t="n">
        <f aca="true">MAX(0,$E$8+$F$8*_xlfn.NORM.S.INV(RAND()))</f>
        <v>0</v>
      </c>
      <c r="F777" s="27" t="n">
        <f aca="false">1/(1+EXP(-03_Inputs_Assumptions!$B$14*(E777-03_Inputs_Assumptions!$B$5)))</f>
        <v>0.0052201256935584</v>
      </c>
      <c r="G777" s="28" t="n">
        <f aca="false">D777*04_Baseline_PnL!$B$15*F777*04_Baseline_PnL!$B$14</f>
        <v>19923.5000429815</v>
      </c>
      <c r="H777" s="28" t="n">
        <f aca="false">D777*03_Inputs_Assumptions!$B$13*01_Macro_Data!$B$97*($G$8-1)+D777*04_Baseline_PnL!$B$15*04_Baseline_PnL!$B$13*03_Inputs_Assumptions!$B$15*($H$8-1)</f>
        <v>240844.417534678</v>
      </c>
      <c r="I777" s="16" t="n">
        <f aca="false">G777+H777</f>
        <v>260767.917577659</v>
      </c>
    </row>
    <row r="778" customFormat="false" ht="15" hidden="false" customHeight="true" outlineLevel="0" collapsed="false">
      <c r="A778" s="4" t="s">
        <v>304</v>
      </c>
      <c r="B778" s="4" t="n">
        <v>168</v>
      </c>
      <c r="C778" s="24" t="n">
        <f aca="true">RAND()</f>
        <v>0.653779414239259</v>
      </c>
      <c r="D778" s="25" t="n">
        <f aca="false">IF(C778&lt;(($C$8-$B$8)/($D$8-$B$8)),$B$8+SQRT(C778*($D$8-$B$8)*($C$8-$B$8)),$D$8-SQRT((1-C778)*($D$8-$B$8)*($D$8-$C$8)))</f>
        <v>10.7371446095433</v>
      </c>
      <c r="E778" s="26" t="n">
        <f aca="true">MAX(0,$E$8+$F$8*_xlfn.NORM.S.INV(RAND()))</f>
        <v>0</v>
      </c>
      <c r="F778" s="27" t="n">
        <f aca="false">1/(1+EXP(-03_Inputs_Assumptions!$B$14*(E778-03_Inputs_Assumptions!$B$5)))</f>
        <v>0.0052201256935584</v>
      </c>
      <c r="G778" s="28" t="n">
        <f aca="false">D778*04_Baseline_PnL!$B$15*F778*04_Baseline_PnL!$B$14</f>
        <v>16027.258583958</v>
      </c>
      <c r="H778" s="28" t="n">
        <f aca="false">D778*03_Inputs_Assumptions!$B$13*01_Macro_Data!$B$97*($G$8-1)+D778*04_Baseline_PnL!$B$15*04_Baseline_PnL!$B$13*03_Inputs_Assumptions!$B$15*($H$8-1)</f>
        <v>193744.861595784</v>
      </c>
      <c r="I778" s="16" t="n">
        <f aca="false">G778+H778</f>
        <v>209772.120179742</v>
      </c>
    </row>
    <row r="779" customFormat="false" ht="15" hidden="false" customHeight="true" outlineLevel="0" collapsed="false">
      <c r="A779" s="4" t="s">
        <v>304</v>
      </c>
      <c r="B779" s="4" t="n">
        <v>169</v>
      </c>
      <c r="C779" s="24" t="n">
        <f aca="true">RAND()</f>
        <v>0.0738641852019249</v>
      </c>
      <c r="D779" s="25" t="n">
        <f aca="false">IF(C779&lt;(($C$8-$B$8)/($D$8-$B$8)),$B$8+SQRT(C779*($D$8-$B$8)*($C$8-$B$8)),$D$8-SQRT((1-C779)*($D$8-$B$8)*($D$8-$C$8)))</f>
        <v>7.21543560258802</v>
      </c>
      <c r="E779" s="26" t="n">
        <f aca="true">MAX(0,$E$8+$F$8*_xlfn.NORM.S.INV(RAND()))</f>
        <v>0.0785144391683528</v>
      </c>
      <c r="F779" s="27" t="n">
        <f aca="false">1/(1+EXP(-03_Inputs_Assumptions!$B$14*(E779-03_Inputs_Assumptions!$B$5)))</f>
        <v>0.00532305091874016</v>
      </c>
      <c r="G779" s="28" t="n">
        <f aca="false">D779*04_Baseline_PnL!$B$15*F779*04_Baseline_PnL!$B$14</f>
        <v>10982.7894221169</v>
      </c>
      <c r="H779" s="28" t="n">
        <f aca="false">D779*03_Inputs_Assumptions!$B$13*01_Macro_Data!$B$97*($G$8-1)+D779*04_Baseline_PnL!$B$15*04_Baseline_PnL!$B$13*03_Inputs_Assumptions!$B$15*($H$8-1)</f>
        <v>130197.889943122</v>
      </c>
      <c r="I779" s="16" t="n">
        <f aca="false">G779+H779</f>
        <v>141180.679365239</v>
      </c>
    </row>
    <row r="780" customFormat="false" ht="15" hidden="false" customHeight="true" outlineLevel="0" collapsed="false">
      <c r="A780" s="4" t="s">
        <v>304</v>
      </c>
      <c r="B780" s="4" t="n">
        <v>170</v>
      </c>
      <c r="C780" s="24" t="n">
        <f aca="true">RAND()</f>
        <v>0.941694224796189</v>
      </c>
      <c r="D780" s="25" t="n">
        <f aca="false">IF(C780&lt;(($C$8-$B$8)/($D$8-$B$8)),$B$8+SQRT(C780*($D$8-$B$8)*($C$8-$B$8)),$D$8-SQRT((1-C780)*($D$8-$B$8)*($D$8-$C$8)))</f>
        <v>13.8402634382164</v>
      </c>
      <c r="E780" s="26" t="n">
        <f aca="true">MAX(0,$E$8+$F$8*_xlfn.NORM.S.INV(RAND()))</f>
        <v>0</v>
      </c>
      <c r="F780" s="27" t="n">
        <f aca="false">1/(1+EXP(-03_Inputs_Assumptions!$B$14*(E780-03_Inputs_Assumptions!$B$5)))</f>
        <v>0.0052201256935584</v>
      </c>
      <c r="G780" s="28" t="n">
        <f aca="false">D780*04_Baseline_PnL!$B$15*F780*04_Baseline_PnL!$B$14</f>
        <v>20659.261755424</v>
      </c>
      <c r="H780" s="28" t="n">
        <f aca="false">D780*03_Inputs_Assumptions!$B$13*01_Macro_Data!$B$97*($G$8-1)+D780*04_Baseline_PnL!$B$15*04_Baseline_PnL!$B$13*03_Inputs_Assumptions!$B$15*($H$8-1)</f>
        <v>249738.642981775</v>
      </c>
      <c r="I780" s="16" t="n">
        <f aca="false">G780+H780</f>
        <v>270397.904737199</v>
      </c>
    </row>
    <row r="781" customFormat="false" ht="15" hidden="false" customHeight="true" outlineLevel="0" collapsed="false">
      <c r="A781" s="4" t="s">
        <v>304</v>
      </c>
      <c r="B781" s="4" t="n">
        <v>171</v>
      </c>
      <c r="C781" s="24" t="n">
        <f aca="true">RAND()</f>
        <v>0.841790583746202</v>
      </c>
      <c r="D781" s="25" t="n">
        <f aca="false">IF(C781&lt;(($C$8-$B$8)/($D$8-$B$8)),$B$8+SQRT(C781*($D$8-$B$8)*($C$8-$B$8)),$D$8-SQRT((1-C781)*($D$8-$B$8)*($D$8-$C$8)))</f>
        <v>12.4423668963335</v>
      </c>
      <c r="E781" s="26" t="n">
        <f aca="true">MAX(0,$E$8+$F$8*_xlfn.NORM.S.INV(RAND()))</f>
        <v>0.611656374105159</v>
      </c>
      <c r="F781" s="27" t="n">
        <f aca="false">1/(1+EXP(-03_Inputs_Assumptions!$B$14*(E781-03_Inputs_Assumptions!$B$5)))</f>
        <v>0.00607737859872459</v>
      </c>
      <c r="G781" s="28" t="n">
        <f aca="false">D781*04_Baseline_PnL!$B$15*F781*04_Baseline_PnL!$B$14</f>
        <v>21622.6429488853</v>
      </c>
      <c r="H781" s="28" t="n">
        <f aca="false">D781*03_Inputs_Assumptions!$B$13*01_Macro_Data!$B$97*($G$8-1)+D781*04_Baseline_PnL!$B$15*04_Baseline_PnL!$B$13*03_Inputs_Assumptions!$B$15*($H$8-1)</f>
        <v>224514.499889615</v>
      </c>
      <c r="I781" s="16" t="n">
        <f aca="false">G781+H781</f>
        <v>246137.142838501</v>
      </c>
    </row>
    <row r="782" customFormat="false" ht="15" hidden="false" customHeight="true" outlineLevel="0" collapsed="false">
      <c r="A782" s="4" t="s">
        <v>304</v>
      </c>
      <c r="B782" s="4" t="n">
        <v>172</v>
      </c>
      <c r="C782" s="24" t="n">
        <f aca="true">RAND()</f>
        <v>0.311602293650492</v>
      </c>
      <c r="D782" s="25" t="n">
        <f aca="false">IF(C782&lt;(($C$8-$B$8)/($D$8-$B$8)),$B$8+SQRT(C782*($D$8-$B$8)*($C$8-$B$8)),$D$8-SQRT((1-C782)*($D$8-$B$8)*($D$8-$C$8)))</f>
        <v>8.57896122446725</v>
      </c>
      <c r="E782" s="26" t="n">
        <f aca="true">MAX(0,$E$8+$F$8*_xlfn.NORM.S.INV(RAND()))</f>
        <v>0.0175377849183284</v>
      </c>
      <c r="F782" s="27" t="n">
        <f aca="false">1/(1+EXP(-03_Inputs_Assumptions!$B$14*(E782-03_Inputs_Assumptions!$B$5)))</f>
        <v>0.00524294304101077</v>
      </c>
      <c r="G782" s="28" t="n">
        <f aca="false">D782*04_Baseline_PnL!$B$15*F782*04_Baseline_PnL!$B$14</f>
        <v>12861.728143742</v>
      </c>
      <c r="H782" s="28" t="n">
        <f aca="false">D782*03_Inputs_Assumptions!$B$13*01_Macro_Data!$B$97*($G$8-1)+D782*04_Baseline_PnL!$B$15*04_Baseline_PnL!$B$13*03_Inputs_Assumptions!$B$15*($H$8-1)</f>
        <v>154801.831912805</v>
      </c>
      <c r="I782" s="16" t="n">
        <f aca="false">G782+H782</f>
        <v>167663.560056547</v>
      </c>
    </row>
    <row r="783" customFormat="false" ht="15" hidden="false" customHeight="true" outlineLevel="0" collapsed="false">
      <c r="A783" s="4" t="s">
        <v>304</v>
      </c>
      <c r="B783" s="4" t="n">
        <v>173</v>
      </c>
      <c r="C783" s="24" t="n">
        <f aca="true">RAND()</f>
        <v>0.0889804024070017</v>
      </c>
      <c r="D783" s="25" t="n">
        <f aca="false">IF(C783&lt;(($C$8-$B$8)/($D$8-$B$8)),$B$8+SQRT(C783*($D$8-$B$8)*($C$8-$B$8)),$D$8-SQRT((1-C783)*($D$8-$B$8)*($D$8-$C$8)))</f>
        <v>7.33401950815572</v>
      </c>
      <c r="E783" s="26" t="n">
        <f aca="true">MAX(0,$E$8+$F$8*_xlfn.NORM.S.INV(RAND()))</f>
        <v>0.629549157891073</v>
      </c>
      <c r="F783" s="27" t="n">
        <f aca="false">1/(1+EXP(-03_Inputs_Assumptions!$B$14*(E783-03_Inputs_Assumptions!$B$5)))</f>
        <v>0.00610445847411012</v>
      </c>
      <c r="G783" s="28" t="n">
        <f aca="false">D783*04_Baseline_PnL!$B$15*F783*04_Baseline_PnL!$B$14</f>
        <v>12802.0254389886</v>
      </c>
      <c r="H783" s="28" t="n">
        <f aca="false">D783*03_Inputs_Assumptions!$B$13*01_Macro_Data!$B$97*($G$8-1)+D783*04_Baseline_PnL!$B$15*04_Baseline_PnL!$B$13*03_Inputs_Assumptions!$B$15*($H$8-1)</f>
        <v>132337.660171352</v>
      </c>
      <c r="I783" s="16" t="n">
        <f aca="false">G783+H783</f>
        <v>145139.685610341</v>
      </c>
    </row>
    <row r="784" customFormat="false" ht="15" hidden="false" customHeight="true" outlineLevel="0" collapsed="false">
      <c r="A784" s="4" t="s">
        <v>304</v>
      </c>
      <c r="B784" s="4" t="n">
        <v>174</v>
      </c>
      <c r="C784" s="24" t="n">
        <f aca="true">RAND()</f>
        <v>0.0877011152076706</v>
      </c>
      <c r="D784" s="25" t="n">
        <f aca="false">IF(C784&lt;(($C$8-$B$8)/($D$8-$B$8)),$B$8+SQRT(C784*($D$8-$B$8)*($C$8-$B$8)),$D$8-SQRT((1-C784)*($D$8-$B$8)*($D$8-$C$8)))</f>
        <v>7.32439507102428</v>
      </c>
      <c r="E784" s="26" t="n">
        <f aca="true">MAX(0,$E$8+$F$8*_xlfn.NORM.S.INV(RAND()))</f>
        <v>0.433449494429214</v>
      </c>
      <c r="F784" s="27" t="n">
        <f aca="false">1/(1+EXP(-03_Inputs_Assumptions!$B$14*(E784-03_Inputs_Assumptions!$B$5)))</f>
        <v>0.00581410337025499</v>
      </c>
      <c r="G784" s="28" t="n">
        <f aca="false">D784*04_Baseline_PnL!$B$15*F784*04_Baseline_PnL!$B$14</f>
        <v>12177.1033460323</v>
      </c>
      <c r="H784" s="28" t="n">
        <f aca="false">D784*03_Inputs_Assumptions!$B$13*01_Macro_Data!$B$97*($G$8-1)+D784*04_Baseline_PnL!$B$15*04_Baseline_PnL!$B$13*03_Inputs_Assumptions!$B$15*($H$8-1)</f>
        <v>132163.993399806</v>
      </c>
      <c r="I784" s="16" t="n">
        <f aca="false">G784+H784</f>
        <v>144341.096745838</v>
      </c>
    </row>
    <row r="785" customFormat="false" ht="15" hidden="false" customHeight="true" outlineLevel="0" collapsed="false">
      <c r="A785" s="4" t="s">
        <v>304</v>
      </c>
      <c r="B785" s="4" t="n">
        <v>175</v>
      </c>
      <c r="C785" s="24" t="n">
        <f aca="true">RAND()</f>
        <v>0.867997876635183</v>
      </c>
      <c r="D785" s="25" t="n">
        <f aca="false">IF(C785&lt;(($C$8-$B$8)/($D$8-$B$8)),$B$8+SQRT(C785*($D$8-$B$8)*($C$8-$B$8)),$D$8-SQRT((1-C785)*($D$8-$B$8)*($D$8-$C$8)))</f>
        <v>12.7503585014366</v>
      </c>
      <c r="E785" s="26" t="n">
        <f aca="true">MAX(0,$E$8+$F$8*_xlfn.NORM.S.INV(RAND()))</f>
        <v>0.0594089941271263</v>
      </c>
      <c r="F785" s="27" t="n">
        <f aca="false">1/(1+EXP(-03_Inputs_Assumptions!$B$14*(E785-03_Inputs_Assumptions!$B$5)))</f>
        <v>0.00529782110198736</v>
      </c>
      <c r="G785" s="28" t="n">
        <f aca="false">D785*04_Baseline_PnL!$B$15*F785*04_Baseline_PnL!$B$14</f>
        <v>19315.6428268114</v>
      </c>
      <c r="H785" s="28" t="n">
        <f aca="false">D785*03_Inputs_Assumptions!$B$13*01_Macro_Data!$B$97*($G$8-1)+D785*04_Baseline_PnL!$B$15*04_Baseline_PnL!$B$13*03_Inputs_Assumptions!$B$15*($H$8-1)</f>
        <v>230072.010109821</v>
      </c>
      <c r="I785" s="16" t="n">
        <f aca="false">G785+H785</f>
        <v>249387.652936633</v>
      </c>
    </row>
    <row r="786" customFormat="false" ht="15" hidden="false" customHeight="true" outlineLevel="0" collapsed="false">
      <c r="A786" s="4" t="s">
        <v>304</v>
      </c>
      <c r="B786" s="4" t="n">
        <v>176</v>
      </c>
      <c r="C786" s="24" t="n">
        <f aca="true">RAND()</f>
        <v>0.289248702178397</v>
      </c>
      <c r="D786" s="25" t="n">
        <f aca="false">IF(C786&lt;(($C$8-$B$8)/($D$8-$B$8)),$B$8+SQRT(C786*($D$8-$B$8)*($C$8-$B$8)),$D$8-SQRT((1-C786)*($D$8-$B$8)*($D$8-$C$8)))</f>
        <v>8.45943610691294</v>
      </c>
      <c r="E786" s="26" t="n">
        <f aca="true">MAX(0,$E$8+$F$8*_xlfn.NORM.S.INV(RAND()))</f>
        <v>0.204290461376931</v>
      </c>
      <c r="F786" s="27" t="n">
        <f aca="false">1/(1+EXP(-03_Inputs_Assumptions!$B$14*(E786-03_Inputs_Assumptions!$B$5)))</f>
        <v>0.00549215440800853</v>
      </c>
      <c r="G786" s="28" t="n">
        <f aca="false">D786*04_Baseline_PnL!$B$15*F786*04_Baseline_PnL!$B$14</f>
        <v>13285.369399433</v>
      </c>
      <c r="H786" s="28" t="n">
        <f aca="false">D786*03_Inputs_Assumptions!$B$13*01_Macro_Data!$B$97*($G$8-1)+D786*04_Baseline_PnL!$B$15*04_Baseline_PnL!$B$13*03_Inputs_Assumptions!$B$15*($H$8-1)</f>
        <v>152645.078120256</v>
      </c>
      <c r="I786" s="16" t="n">
        <f aca="false">G786+H786</f>
        <v>165930.447519689</v>
      </c>
    </row>
    <row r="787" customFormat="false" ht="15" hidden="false" customHeight="true" outlineLevel="0" collapsed="false">
      <c r="A787" s="4" t="s">
        <v>304</v>
      </c>
      <c r="B787" s="4" t="n">
        <v>177</v>
      </c>
      <c r="C787" s="24" t="n">
        <f aca="true">RAND()</f>
        <v>0.431135987587378</v>
      </c>
      <c r="D787" s="25" t="n">
        <f aca="false">IF(C787&lt;(($C$8-$B$8)/($D$8-$B$8)),$B$8+SQRT(C787*($D$8-$B$8)*($C$8-$B$8)),$D$8-SQRT((1-C787)*($D$8-$B$8)*($D$8-$C$8)))</f>
        <v>9.25395515927965</v>
      </c>
      <c r="E787" s="26" t="n">
        <f aca="true">MAX(0,$E$8+$F$8*_xlfn.NORM.S.INV(RAND()))</f>
        <v>0</v>
      </c>
      <c r="F787" s="27" t="n">
        <f aca="false">1/(1+EXP(-03_Inputs_Assumptions!$B$14*(E787-03_Inputs_Assumptions!$B$5)))</f>
        <v>0.0052201256935584</v>
      </c>
      <c r="G787" s="28" t="n">
        <f aca="false">D787*04_Baseline_PnL!$B$15*F787*04_Baseline_PnL!$B$14</f>
        <v>13813.3123521782</v>
      </c>
      <c r="H787" s="28" t="n">
        <f aca="false">D787*03_Inputs_Assumptions!$B$13*01_Macro_Data!$B$97*($G$8-1)+D787*04_Baseline_PnL!$B$15*04_Baseline_PnL!$B$13*03_Inputs_Assumptions!$B$15*($H$8-1)</f>
        <v>166981.662885929</v>
      </c>
      <c r="I787" s="16" t="n">
        <f aca="false">G787+H787</f>
        <v>180794.975238107</v>
      </c>
    </row>
    <row r="788" customFormat="false" ht="15" hidden="false" customHeight="true" outlineLevel="0" collapsed="false">
      <c r="A788" s="4" t="s">
        <v>304</v>
      </c>
      <c r="B788" s="4" t="n">
        <v>178</v>
      </c>
      <c r="C788" s="24" t="n">
        <f aca="true">RAND()</f>
        <v>0.526845783402268</v>
      </c>
      <c r="D788" s="25" t="n">
        <f aca="false">IF(C788&lt;(($C$8-$B$8)/($D$8-$B$8)),$B$8+SQRT(C788*($D$8-$B$8)*($C$8-$B$8)),$D$8-SQRT((1-C788)*($D$8-$B$8)*($D$8-$C$8)))</f>
        <v>9.84757467921645</v>
      </c>
      <c r="E788" s="26" t="n">
        <f aca="true">MAX(0,$E$8+$F$8*_xlfn.NORM.S.INV(RAND()))</f>
        <v>0.365610301467768</v>
      </c>
      <c r="F788" s="27" t="n">
        <f aca="false">1/(1+EXP(-03_Inputs_Assumptions!$B$14*(E788-03_Inputs_Assumptions!$B$5)))</f>
        <v>0.00571688777831473</v>
      </c>
      <c r="G788" s="28" t="n">
        <f aca="false">D788*04_Baseline_PnL!$B$15*F788*04_Baseline_PnL!$B$14</f>
        <v>16098.2412460257</v>
      </c>
      <c r="H788" s="28" t="n">
        <f aca="false">D788*03_Inputs_Assumptions!$B$13*01_Macro_Data!$B$97*($G$8-1)+D788*04_Baseline_PnL!$B$15*04_Baseline_PnL!$B$13*03_Inputs_Assumptions!$B$15*($H$8-1)</f>
        <v>177693.144933818</v>
      </c>
      <c r="I788" s="16" t="n">
        <f aca="false">G788+H788</f>
        <v>193791.386179843</v>
      </c>
    </row>
    <row r="789" customFormat="false" ht="15" hidden="false" customHeight="true" outlineLevel="0" collapsed="false">
      <c r="A789" s="4" t="s">
        <v>304</v>
      </c>
      <c r="B789" s="4" t="n">
        <v>179</v>
      </c>
      <c r="C789" s="24" t="n">
        <f aca="true">RAND()</f>
        <v>0.599191847860715</v>
      </c>
      <c r="D789" s="25" t="n">
        <f aca="false">IF(C789&lt;(($C$8-$B$8)/($D$8-$B$8)),$B$8+SQRT(C789*($D$8-$B$8)*($C$8-$B$8)),$D$8-SQRT((1-C789)*($D$8-$B$8)*($D$8-$C$8)))</f>
        <v>10.3374341353815</v>
      </c>
      <c r="E789" s="26" t="n">
        <f aca="true">MAX(0,$E$8+$F$8*_xlfn.NORM.S.INV(RAND()))</f>
        <v>0.243562156025574</v>
      </c>
      <c r="F789" s="27" t="n">
        <f aca="false">1/(1+EXP(-03_Inputs_Assumptions!$B$14*(E789-03_Inputs_Assumptions!$B$5)))</f>
        <v>0.00554604100397691</v>
      </c>
      <c r="G789" s="28" t="n">
        <f aca="false">D789*04_Baseline_PnL!$B$15*F789*04_Baseline_PnL!$B$14</f>
        <v>16394.0144249855</v>
      </c>
      <c r="H789" s="28" t="n">
        <f aca="false">D789*03_Inputs_Assumptions!$B$13*01_Macro_Data!$B$97*($G$8-1)+D789*04_Baseline_PnL!$B$15*04_Baseline_PnL!$B$13*03_Inputs_Assumptions!$B$15*($H$8-1)</f>
        <v>186532.343434667</v>
      </c>
      <c r="I789" s="16" t="n">
        <f aca="false">G789+H789</f>
        <v>202926.357859653</v>
      </c>
    </row>
    <row r="790" customFormat="false" ht="15" hidden="false" customHeight="true" outlineLevel="0" collapsed="false">
      <c r="A790" s="4" t="s">
        <v>304</v>
      </c>
      <c r="B790" s="4" t="n">
        <v>180</v>
      </c>
      <c r="C790" s="24" t="n">
        <f aca="true">RAND()</f>
        <v>0.493722442257523</v>
      </c>
      <c r="D790" s="25" t="n">
        <f aca="false">IF(C790&lt;(($C$8-$B$8)/($D$8-$B$8)),$B$8+SQRT(C790*($D$8-$B$8)*($C$8-$B$8)),$D$8-SQRT((1-C790)*($D$8-$B$8)*($D$8-$C$8)))</f>
        <v>9.63586576041972</v>
      </c>
      <c r="E790" s="26" t="n">
        <f aca="true">MAX(0,$E$8+$F$8*_xlfn.NORM.S.INV(RAND()))</f>
        <v>0.322646040779218</v>
      </c>
      <c r="F790" s="27" t="n">
        <f aca="false">1/(1+EXP(-03_Inputs_Assumptions!$B$14*(E790-03_Inputs_Assumptions!$B$5)))</f>
        <v>0.00565615637686761</v>
      </c>
      <c r="G790" s="28" t="n">
        <f aca="false">D790*04_Baseline_PnL!$B$15*F790*04_Baseline_PnL!$B$14</f>
        <v>15584.8142463559</v>
      </c>
      <c r="H790" s="28" t="n">
        <f aca="false">D790*03_Inputs_Assumptions!$B$13*01_Macro_Data!$B$97*($G$8-1)+D790*04_Baseline_PnL!$B$15*04_Baseline_PnL!$B$13*03_Inputs_Assumptions!$B$15*($H$8-1)</f>
        <v>173872.993798439</v>
      </c>
      <c r="I790" s="16" t="n">
        <f aca="false">G790+H790</f>
        <v>189457.808044795</v>
      </c>
    </row>
    <row r="791" customFormat="false" ht="15" hidden="false" customHeight="true" outlineLevel="0" collapsed="false">
      <c r="A791" s="4" t="s">
        <v>304</v>
      </c>
      <c r="B791" s="4" t="n">
        <v>181</v>
      </c>
      <c r="C791" s="24" t="n">
        <f aca="true">RAND()</f>
        <v>0.307841620001833</v>
      </c>
      <c r="D791" s="25" t="n">
        <f aca="false">IF(C791&lt;(($C$8-$B$8)/($D$8-$B$8)),$B$8+SQRT(C791*($D$8-$B$8)*($C$8-$B$8)),$D$8-SQRT((1-C791)*($D$8-$B$8)*($D$8-$C$8)))</f>
        <v>8.55871849747281</v>
      </c>
      <c r="E791" s="26" t="n">
        <f aca="true">MAX(0,$E$8+$F$8*_xlfn.NORM.S.INV(RAND()))</f>
        <v>0</v>
      </c>
      <c r="F791" s="27" t="n">
        <f aca="false">1/(1+EXP(-03_Inputs_Assumptions!$B$14*(E791-03_Inputs_Assumptions!$B$5)))</f>
        <v>0.0052201256935584</v>
      </c>
      <c r="G791" s="28" t="n">
        <f aca="false">D791*04_Baseline_PnL!$B$15*F791*04_Baseline_PnL!$B$14</f>
        <v>12775.5375842085</v>
      </c>
      <c r="H791" s="28" t="n">
        <f aca="false">D791*03_Inputs_Assumptions!$B$13*01_Macro_Data!$B$97*($G$8-1)+D791*04_Baseline_PnL!$B$15*04_Baseline_PnL!$B$13*03_Inputs_Assumptions!$B$15*($H$8-1)</f>
        <v>154436.564937042</v>
      </c>
      <c r="I791" s="16" t="n">
        <f aca="false">G791+H791</f>
        <v>167212.10252125</v>
      </c>
    </row>
    <row r="792" customFormat="false" ht="15" hidden="false" customHeight="true" outlineLevel="0" collapsed="false">
      <c r="A792" s="4" t="s">
        <v>304</v>
      </c>
      <c r="B792" s="4" t="n">
        <v>182</v>
      </c>
      <c r="C792" s="24" t="n">
        <f aca="true">RAND()</f>
        <v>0.861423866543277</v>
      </c>
      <c r="D792" s="25" t="n">
        <f aca="false">IF(C792&lt;(($C$8-$B$8)/($D$8-$B$8)),$B$8+SQRT(C792*($D$8-$B$8)*($C$8-$B$8)),$D$8-SQRT((1-C792)*($D$8-$B$8)*($D$8-$C$8)))</f>
        <v>12.6704218470596</v>
      </c>
      <c r="E792" s="26" t="n">
        <f aca="true">MAX(0,$E$8+$F$8*_xlfn.NORM.S.INV(RAND()))</f>
        <v>0</v>
      </c>
      <c r="F792" s="27" t="n">
        <f aca="false">1/(1+EXP(-03_Inputs_Assumptions!$B$14*(E792-03_Inputs_Assumptions!$B$5)))</f>
        <v>0.0052201256935584</v>
      </c>
      <c r="G792" s="28" t="n">
        <f aca="false">D792*04_Baseline_PnL!$B$15*F792*04_Baseline_PnL!$B$14</f>
        <v>18913.047620702</v>
      </c>
      <c r="H792" s="28" t="n">
        <f aca="false">D792*03_Inputs_Assumptions!$B$13*01_Macro_Data!$B$97*($G$8-1)+D792*04_Baseline_PnL!$B$15*04_Baseline_PnL!$B$13*03_Inputs_Assumptions!$B$15*($H$8-1)</f>
        <v>228629.604647113</v>
      </c>
      <c r="I792" s="16" t="n">
        <f aca="false">G792+H792</f>
        <v>247542.652267815</v>
      </c>
    </row>
    <row r="793" customFormat="false" ht="15" hidden="false" customHeight="true" outlineLevel="0" collapsed="false">
      <c r="A793" s="4" t="s">
        <v>304</v>
      </c>
      <c r="B793" s="4" t="n">
        <v>183</v>
      </c>
      <c r="C793" s="24" t="n">
        <f aca="true">RAND()</f>
        <v>0.0372849786824556</v>
      </c>
      <c r="D793" s="25" t="n">
        <f aca="false">IF(C793&lt;(($C$8-$B$8)/($D$8-$B$8)),$B$8+SQRT(C793*($D$8-$B$8)*($C$8-$B$8)),$D$8-SQRT((1-C793)*($D$8-$B$8)*($D$8-$C$8)))</f>
        <v>6.86353898212479</v>
      </c>
      <c r="E793" s="26" t="n">
        <f aca="true">MAX(0,$E$8+$F$8*_xlfn.NORM.S.INV(RAND()))</f>
        <v>0</v>
      </c>
      <c r="F793" s="27" t="n">
        <f aca="false">1/(1+EXP(-03_Inputs_Assumptions!$B$14*(E793-03_Inputs_Assumptions!$B$5)))</f>
        <v>0.0052201256935584</v>
      </c>
      <c r="G793" s="28" t="n">
        <f aca="false">D793*04_Baseline_PnL!$B$15*F793*04_Baseline_PnL!$B$14</f>
        <v>10245.1553059849</v>
      </c>
      <c r="H793" s="28" t="n">
        <f aca="false">D793*03_Inputs_Assumptions!$B$13*01_Macro_Data!$B$97*($G$8-1)+D793*04_Baseline_PnL!$B$15*04_Baseline_PnL!$B$13*03_Inputs_Assumptions!$B$15*($H$8-1)</f>
        <v>123848.141988058</v>
      </c>
      <c r="I793" s="16" t="n">
        <f aca="false">G793+H793</f>
        <v>134093.297294043</v>
      </c>
    </row>
    <row r="794" customFormat="false" ht="15" hidden="false" customHeight="true" outlineLevel="0" collapsed="false">
      <c r="A794" s="4" t="s">
        <v>304</v>
      </c>
      <c r="B794" s="4" t="n">
        <v>184</v>
      </c>
      <c r="C794" s="24" t="n">
        <f aca="true">RAND()</f>
        <v>0.256577751037265</v>
      </c>
      <c r="D794" s="25" t="n">
        <f aca="false">IF(C794&lt;(($C$8-$B$8)/($D$8-$B$8)),$B$8+SQRT(C794*($D$8-$B$8)*($C$8-$B$8)),$D$8-SQRT((1-C794)*($D$8-$B$8)*($D$8-$C$8)))</f>
        <v>8.28807547255429</v>
      </c>
      <c r="E794" s="26" t="n">
        <f aca="true">MAX(0,$E$8+$F$8*_xlfn.NORM.S.INV(RAND()))</f>
        <v>0</v>
      </c>
      <c r="F794" s="27" t="n">
        <f aca="false">1/(1+EXP(-03_Inputs_Assumptions!$B$14*(E794-03_Inputs_Assumptions!$B$5)))</f>
        <v>0.0052201256935584</v>
      </c>
      <c r="G794" s="28" t="n">
        <f aca="false">D794*04_Baseline_PnL!$B$15*F794*04_Baseline_PnL!$B$14</f>
        <v>12371.5506861966</v>
      </c>
      <c r="H794" s="28" t="n">
        <f aca="false">D794*03_Inputs_Assumptions!$B$13*01_Macro_Data!$B$97*($G$8-1)+D794*04_Baseline_PnL!$B$15*04_Baseline_PnL!$B$13*03_Inputs_Assumptions!$B$15*($H$8-1)</f>
        <v>149552.985800174</v>
      </c>
      <c r="I794" s="16" t="n">
        <f aca="false">G794+H794</f>
        <v>161924.53648637</v>
      </c>
    </row>
    <row r="795" customFormat="false" ht="15" hidden="false" customHeight="true" outlineLevel="0" collapsed="false">
      <c r="A795" s="4" t="s">
        <v>304</v>
      </c>
      <c r="B795" s="4" t="n">
        <v>185</v>
      </c>
      <c r="C795" s="24" t="n">
        <f aca="true">RAND()</f>
        <v>0.252971240039606</v>
      </c>
      <c r="D795" s="25" t="n">
        <f aca="false">IF(C795&lt;(($C$8-$B$8)/($D$8-$B$8)),$B$8+SQRT(C795*($D$8-$B$8)*($C$8-$B$8)),$D$8-SQRT((1-C795)*($D$8-$B$8)*($D$8-$C$8)))</f>
        <v>8.26939195167472</v>
      </c>
      <c r="E795" s="26" t="n">
        <f aca="true">MAX(0,$E$8+$F$8*_xlfn.NORM.S.INV(RAND()))</f>
        <v>0.566359546604272</v>
      </c>
      <c r="F795" s="27" t="n">
        <f aca="false">1/(1+EXP(-03_Inputs_Assumptions!$B$14*(E795-03_Inputs_Assumptions!$B$5)))</f>
        <v>0.00600935655386877</v>
      </c>
      <c r="G795" s="28" t="n">
        <f aca="false">D795*04_Baseline_PnL!$B$15*F795*04_Baseline_PnL!$B$14</f>
        <v>14209.9003099735</v>
      </c>
      <c r="H795" s="28" t="n">
        <f aca="false">D795*03_Inputs_Assumptions!$B$13*01_Macro_Data!$B$97*($G$8-1)+D795*04_Baseline_PnL!$B$15*04_Baseline_PnL!$B$13*03_Inputs_Assumptions!$B$15*($H$8-1)</f>
        <v>149215.853694892</v>
      </c>
      <c r="I795" s="16" t="n">
        <f aca="false">G795+H795</f>
        <v>163425.754004865</v>
      </c>
    </row>
    <row r="796" customFormat="false" ht="15" hidden="false" customHeight="true" outlineLevel="0" collapsed="false">
      <c r="A796" s="4" t="s">
        <v>304</v>
      </c>
      <c r="B796" s="4" t="n">
        <v>186</v>
      </c>
      <c r="C796" s="24" t="n">
        <f aca="true">RAND()</f>
        <v>0.14174559903087</v>
      </c>
      <c r="D796" s="25" t="n">
        <f aca="false">IF(C796&lt;(($C$8-$B$8)/($D$8-$B$8)),$B$8+SQRT(C796*($D$8-$B$8)*($C$8-$B$8)),$D$8-SQRT((1-C796)*($D$8-$B$8)*($D$8-$C$8)))</f>
        <v>7.68371968587928</v>
      </c>
      <c r="E796" s="26" t="n">
        <f aca="true">MAX(0,$E$8+$F$8*_xlfn.NORM.S.INV(RAND()))</f>
        <v>0.0482510813184378</v>
      </c>
      <c r="F796" s="27" t="n">
        <f aca="false">1/(1+EXP(-03_Inputs_Assumptions!$B$14*(E796-03_Inputs_Assumptions!$B$5)))</f>
        <v>0.00528314150432381</v>
      </c>
      <c r="G796" s="28" t="n">
        <f aca="false">D796*04_Baseline_PnL!$B$15*F796*04_Baseline_PnL!$B$14</f>
        <v>11607.8887461337</v>
      </c>
      <c r="H796" s="28" t="n">
        <f aca="false">D796*03_Inputs_Assumptions!$B$13*01_Macro_Data!$B$97*($G$8-1)+D796*04_Baseline_PnL!$B$15*04_Baseline_PnL!$B$13*03_Inputs_Assumptions!$B$15*($H$8-1)</f>
        <v>138647.774731312</v>
      </c>
      <c r="I796" s="16" t="n">
        <f aca="false">G796+H796</f>
        <v>150255.663477446</v>
      </c>
    </row>
    <row r="797" customFormat="false" ht="15" hidden="false" customHeight="true" outlineLevel="0" collapsed="false">
      <c r="A797" s="4" t="s">
        <v>304</v>
      </c>
      <c r="B797" s="4" t="n">
        <v>187</v>
      </c>
      <c r="C797" s="24" t="n">
        <f aca="true">RAND()</f>
        <v>0.126730619244867</v>
      </c>
      <c r="D797" s="25" t="n">
        <f aca="false">IF(C797&lt;(($C$8-$B$8)/($D$8-$B$8)),$B$8+SQRT(C797*($D$8-$B$8)*($C$8-$B$8)),$D$8-SQRT((1-C797)*($D$8-$B$8)*($D$8-$C$8)))</f>
        <v>7.5920466026148</v>
      </c>
      <c r="E797" s="26" t="n">
        <f aca="true">MAX(0,$E$8+$F$8*_xlfn.NORM.S.INV(RAND()))</f>
        <v>0</v>
      </c>
      <c r="F797" s="27" t="n">
        <f aca="false">1/(1+EXP(-03_Inputs_Assumptions!$B$14*(E797-03_Inputs_Assumptions!$B$5)))</f>
        <v>0.0052201256935584</v>
      </c>
      <c r="G797" s="28" t="n">
        <f aca="false">D797*04_Baseline_PnL!$B$15*F797*04_Baseline_PnL!$B$14</f>
        <v>11332.5933948414</v>
      </c>
      <c r="H797" s="28" t="n">
        <f aca="false">D797*03_Inputs_Assumptions!$B$13*01_Macro_Data!$B$97*($G$8-1)+D797*04_Baseline_PnL!$B$15*04_Baseline_PnL!$B$13*03_Inputs_Assumptions!$B$15*($H$8-1)</f>
        <v>136993.59296558</v>
      </c>
      <c r="I797" s="16" t="n">
        <f aca="false">G797+H797</f>
        <v>148326.186360421</v>
      </c>
    </row>
    <row r="798" customFormat="false" ht="15" hidden="false" customHeight="true" outlineLevel="0" collapsed="false">
      <c r="A798" s="4" t="s">
        <v>304</v>
      </c>
      <c r="B798" s="4" t="n">
        <v>188</v>
      </c>
      <c r="C798" s="24" t="n">
        <f aca="true">RAND()</f>
        <v>0.146724427971046</v>
      </c>
      <c r="D798" s="25" t="n">
        <f aca="false">IF(C798&lt;(($C$8-$B$8)/($D$8-$B$8)),$B$8+SQRT(C798*($D$8-$B$8)*($C$8-$B$8)),$D$8-SQRT((1-C798)*($D$8-$B$8)*($D$8-$C$8)))</f>
        <v>7.71303489731556</v>
      </c>
      <c r="E798" s="26" t="n">
        <f aca="true">MAX(0,$E$8+$F$8*_xlfn.NORM.S.INV(RAND()))</f>
        <v>0.2887096111459</v>
      </c>
      <c r="F798" s="27" t="n">
        <f aca="false">1/(1+EXP(-03_Inputs_Assumptions!$B$14*(E798-03_Inputs_Assumptions!$B$5)))</f>
        <v>0.00560863993522704</v>
      </c>
      <c r="G798" s="28" t="n">
        <f aca="false">D798*04_Baseline_PnL!$B$15*F798*04_Baseline_PnL!$B$14</f>
        <v>12370.075135532</v>
      </c>
      <c r="H798" s="28" t="n">
        <f aca="false">D798*03_Inputs_Assumptions!$B$13*01_Macro_Data!$B$97*($G$8-1)+D798*04_Baseline_PnL!$B$15*04_Baseline_PnL!$B$13*03_Inputs_Assumptions!$B$15*($H$8-1)</f>
        <v>139176.748847701</v>
      </c>
      <c r="I798" s="16" t="n">
        <f aca="false">G798+H798</f>
        <v>151546.823983233</v>
      </c>
    </row>
    <row r="799" customFormat="false" ht="15" hidden="false" customHeight="true" outlineLevel="0" collapsed="false">
      <c r="A799" s="4" t="s">
        <v>304</v>
      </c>
      <c r="B799" s="4" t="n">
        <v>189</v>
      </c>
      <c r="C799" s="24" t="n">
        <f aca="true">RAND()</f>
        <v>0.956675287808537</v>
      </c>
      <c r="D799" s="25" t="n">
        <f aca="false">IF(C799&lt;(($C$8-$B$8)/($D$8-$B$8)),$B$8+SQRT(C799*($D$8-$B$8)*($C$8-$B$8)),$D$8-SQRT((1-C799)*($D$8-$B$8)*($D$8-$C$8)))</f>
        <v>14.1382865485481</v>
      </c>
      <c r="E799" s="26" t="n">
        <f aca="true">MAX(0,$E$8+$F$8*_xlfn.NORM.S.INV(RAND()))</f>
        <v>0.0693657606721293</v>
      </c>
      <c r="F799" s="27" t="n">
        <f aca="false">1/(1+EXP(-03_Inputs_Assumptions!$B$14*(E799-03_Inputs_Assumptions!$B$5)))</f>
        <v>0.00531095469608943</v>
      </c>
      <c r="G799" s="28" t="n">
        <f aca="false">D799*04_Baseline_PnL!$B$15*F799*04_Baseline_PnL!$B$14</f>
        <v>21471.3255868004</v>
      </c>
      <c r="H799" s="28" t="n">
        <f aca="false">D799*03_Inputs_Assumptions!$B$13*01_Macro_Data!$B$97*($G$8-1)+D799*04_Baseline_PnL!$B$15*04_Baseline_PnL!$B$13*03_Inputs_Assumptions!$B$15*($H$8-1)</f>
        <v>255116.278131835</v>
      </c>
      <c r="I799" s="16" t="n">
        <f aca="false">G799+H799</f>
        <v>276587.603718635</v>
      </c>
    </row>
    <row r="800" customFormat="false" ht="15" hidden="false" customHeight="true" outlineLevel="0" collapsed="false">
      <c r="A800" s="4" t="s">
        <v>304</v>
      </c>
      <c r="B800" s="4" t="n">
        <v>190</v>
      </c>
      <c r="C800" s="24" t="n">
        <f aca="true">RAND()</f>
        <v>0.965610075538079</v>
      </c>
      <c r="D800" s="25" t="n">
        <f aca="false">IF(C800&lt;(($C$8-$B$8)/($D$8-$B$8)),$B$8+SQRT(C800*($D$8-$B$8)*($C$8-$B$8)),$D$8-SQRT((1-C800)*($D$8-$B$8)*($D$8-$C$8)))</f>
        <v>14.3413276523214</v>
      </c>
      <c r="E800" s="26" t="n">
        <f aca="true">MAX(0,$E$8+$F$8*_xlfn.NORM.S.INV(RAND()))</f>
        <v>0</v>
      </c>
      <c r="F800" s="27" t="n">
        <f aca="false">1/(1+EXP(-03_Inputs_Assumptions!$B$14*(E800-03_Inputs_Assumptions!$B$5)))</f>
        <v>0.0052201256935584</v>
      </c>
      <c r="G800" s="28" t="n">
        <f aca="false">D800*04_Baseline_PnL!$B$15*F800*04_Baseline_PnL!$B$14</f>
        <v>21407.1967063504</v>
      </c>
      <c r="H800" s="28" t="n">
        <f aca="false">D800*03_Inputs_Assumptions!$B$13*01_Macro_Data!$B$97*($G$8-1)+D800*04_Baseline_PnL!$B$15*04_Baseline_PnL!$B$13*03_Inputs_Assumptions!$B$15*($H$8-1)</f>
        <v>258780.024125705</v>
      </c>
      <c r="I800" s="16" t="n">
        <f aca="false">G800+H800</f>
        <v>280187.220832055</v>
      </c>
    </row>
    <row r="801" customFormat="false" ht="15" hidden="false" customHeight="true" outlineLevel="0" collapsed="false">
      <c r="A801" s="4" t="s">
        <v>304</v>
      </c>
      <c r="B801" s="4" t="n">
        <v>191</v>
      </c>
      <c r="C801" s="24" t="n">
        <f aca="true">RAND()</f>
        <v>0.798774902215131</v>
      </c>
      <c r="D801" s="25" t="n">
        <f aca="false">IF(C801&lt;(($C$8-$B$8)/($D$8-$B$8)),$B$8+SQRT(C801*($D$8-$B$8)*($C$8-$B$8)),$D$8-SQRT((1-C801)*($D$8-$B$8)*($D$8-$C$8)))</f>
        <v>11.9877677257181</v>
      </c>
      <c r="E801" s="26" t="n">
        <f aca="true">MAX(0,$E$8+$F$8*_xlfn.NORM.S.INV(RAND()))</f>
        <v>0</v>
      </c>
      <c r="F801" s="27" t="n">
        <f aca="false">1/(1+EXP(-03_Inputs_Assumptions!$B$14*(E801-03_Inputs_Assumptions!$B$5)))</f>
        <v>0.0052201256935584</v>
      </c>
      <c r="G801" s="28" t="n">
        <f aca="false">D801*04_Baseline_PnL!$B$15*F801*04_Baseline_PnL!$B$14</f>
        <v>17894.0547204461</v>
      </c>
      <c r="H801" s="28" t="n">
        <f aca="false">D801*03_Inputs_Assumptions!$B$13*01_Macro_Data!$B$97*($G$8-1)+D801*04_Baseline_PnL!$B$15*04_Baseline_PnL!$B$13*03_Inputs_Assumptions!$B$15*($H$8-1)</f>
        <v>216311.55053992</v>
      </c>
      <c r="I801" s="16" t="n">
        <f aca="false">G801+H801</f>
        <v>234205.605260366</v>
      </c>
    </row>
    <row r="802" customFormat="false" ht="15" hidden="false" customHeight="true" outlineLevel="0" collapsed="false">
      <c r="A802" s="4" t="s">
        <v>304</v>
      </c>
      <c r="B802" s="4" t="n">
        <v>192</v>
      </c>
      <c r="C802" s="24" t="n">
        <f aca="true">RAND()</f>
        <v>0.77701986430362</v>
      </c>
      <c r="D802" s="25" t="n">
        <f aca="false">IF(C802&lt;(($C$8-$B$8)/($D$8-$B$8)),$B$8+SQRT(C802*($D$8-$B$8)*($C$8-$B$8)),$D$8-SQRT((1-C802)*($D$8-$B$8)*($D$8-$C$8)))</f>
        <v>11.7764457082085</v>
      </c>
      <c r="E802" s="26" t="n">
        <f aca="true">MAX(0,$E$8+$F$8*_xlfn.NORM.S.INV(RAND()))</f>
        <v>0</v>
      </c>
      <c r="F802" s="27" t="n">
        <f aca="false">1/(1+EXP(-03_Inputs_Assumptions!$B$14*(E802-03_Inputs_Assumptions!$B$5)))</f>
        <v>0.0052201256935584</v>
      </c>
      <c r="G802" s="28" t="n">
        <f aca="false">D802*04_Baseline_PnL!$B$15*F802*04_Baseline_PnL!$B$14</f>
        <v>17578.6158638157</v>
      </c>
      <c r="H802" s="28" t="n">
        <f aca="false">D802*03_Inputs_Assumptions!$B$13*01_Macro_Data!$B$97*($G$8-1)+D802*04_Baseline_PnL!$B$15*04_Baseline_PnL!$B$13*03_Inputs_Assumptions!$B$15*($H$8-1)</f>
        <v>212498.38078917</v>
      </c>
      <c r="I802" s="16" t="n">
        <f aca="false">G802+H802</f>
        <v>230076.996652986</v>
      </c>
    </row>
    <row r="803" customFormat="false" ht="15" hidden="false" customHeight="true" outlineLevel="0" collapsed="false">
      <c r="A803" s="4" t="s">
        <v>304</v>
      </c>
      <c r="B803" s="4" t="n">
        <v>193</v>
      </c>
      <c r="C803" s="24" t="n">
        <f aca="true">RAND()</f>
        <v>0.485458658460351</v>
      </c>
      <c r="D803" s="25" t="n">
        <f aca="false">IF(C803&lt;(($C$8-$B$8)/($D$8-$B$8)),$B$8+SQRT(C803*($D$8-$B$8)*($C$8-$B$8)),$D$8-SQRT((1-C803)*($D$8-$B$8)*($D$8-$C$8)))</f>
        <v>9.58413627613773</v>
      </c>
      <c r="E803" s="26" t="n">
        <f aca="true">MAX(0,$E$8+$F$8*_xlfn.NORM.S.INV(RAND()))</f>
        <v>0</v>
      </c>
      <c r="F803" s="27" t="n">
        <f aca="false">1/(1+EXP(-03_Inputs_Assumptions!$B$14*(E803-03_Inputs_Assumptions!$B$5)))</f>
        <v>0.0052201256935584</v>
      </c>
      <c r="G803" s="28" t="n">
        <f aca="false">D803*04_Baseline_PnL!$B$15*F803*04_Baseline_PnL!$B$14</f>
        <v>14306.1713320899</v>
      </c>
      <c r="H803" s="28" t="n">
        <f aca="false">D803*03_Inputs_Assumptions!$B$13*01_Macro_Data!$B$97*($G$8-1)+D803*04_Baseline_PnL!$B$15*04_Baseline_PnL!$B$13*03_Inputs_Assumptions!$B$15*($H$8-1)</f>
        <v>172939.568559505</v>
      </c>
      <c r="I803" s="16" t="n">
        <f aca="false">G803+H803</f>
        <v>187245.739891595</v>
      </c>
    </row>
    <row r="804" customFormat="false" ht="15" hidden="false" customHeight="true" outlineLevel="0" collapsed="false">
      <c r="A804" s="4" t="s">
        <v>304</v>
      </c>
      <c r="B804" s="4" t="n">
        <v>194</v>
      </c>
      <c r="C804" s="24" t="n">
        <f aca="true">RAND()</f>
        <v>0.559954413248936</v>
      </c>
      <c r="D804" s="25" t="n">
        <f aca="false">IF(C804&lt;(($C$8-$B$8)/($D$8-$B$8)),$B$8+SQRT(C804*($D$8-$B$8)*($C$8-$B$8)),$D$8-SQRT((1-C804)*($D$8-$B$8)*($D$8-$C$8)))</f>
        <v>10.0667338724708</v>
      </c>
      <c r="E804" s="26" t="n">
        <f aca="true">MAX(0,$E$8+$F$8*_xlfn.NORM.S.INV(RAND()))</f>
        <v>0</v>
      </c>
      <c r="F804" s="27" t="n">
        <f aca="false">1/(1+EXP(-03_Inputs_Assumptions!$B$14*(E804-03_Inputs_Assumptions!$B$5)))</f>
        <v>0.0052201256935584</v>
      </c>
      <c r="G804" s="28" t="n">
        <f aca="false">D804*04_Baseline_PnL!$B$15*F804*04_Baseline_PnL!$B$14</f>
        <v>15026.5412953996</v>
      </c>
      <c r="H804" s="28" t="n">
        <f aca="false">D804*03_Inputs_Assumptions!$B$13*01_Macro_Data!$B$97*($G$8-1)+D804*04_Baseline_PnL!$B$15*04_Baseline_PnL!$B$13*03_Inputs_Assumptions!$B$15*($H$8-1)</f>
        <v>181647.731475082</v>
      </c>
      <c r="I804" s="16" t="n">
        <f aca="false">G804+H804</f>
        <v>196674.272770482</v>
      </c>
    </row>
    <row r="805" customFormat="false" ht="15" hidden="false" customHeight="true" outlineLevel="0" collapsed="false">
      <c r="A805" s="4" t="s">
        <v>304</v>
      </c>
      <c r="B805" s="4" t="n">
        <v>195</v>
      </c>
      <c r="C805" s="24" t="n">
        <f aca="true">RAND()</f>
        <v>0.295003319241616</v>
      </c>
      <c r="D805" s="25" t="n">
        <f aca="false">IF(C805&lt;(($C$8-$B$8)/($D$8-$B$8)),$B$8+SQRT(C805*($D$8-$B$8)*($C$8-$B$8)),$D$8-SQRT((1-C805)*($D$8-$B$8)*($D$8-$C$8)))</f>
        <v>8.49002433687893</v>
      </c>
      <c r="E805" s="26" t="n">
        <f aca="true">MAX(0,$E$8+$F$8*_xlfn.NORM.S.INV(RAND()))</f>
        <v>0</v>
      </c>
      <c r="F805" s="27" t="n">
        <f aca="false">1/(1+EXP(-03_Inputs_Assumptions!$B$14*(E805-03_Inputs_Assumptions!$B$5)))</f>
        <v>0.0052201256935584</v>
      </c>
      <c r="G805" s="28" t="n">
        <f aca="false">D805*04_Baseline_PnL!$B$15*F805*04_Baseline_PnL!$B$14</f>
        <v>12672.9983044387</v>
      </c>
      <c r="H805" s="28" t="n">
        <f aca="false">D805*03_Inputs_Assumptions!$B$13*01_Macro_Data!$B$97*($G$8-1)+D805*04_Baseline_PnL!$B$15*04_Baseline_PnL!$B$13*03_Inputs_Assumptions!$B$15*($H$8-1)</f>
        <v>153197.023036408</v>
      </c>
      <c r="I805" s="16" t="n">
        <f aca="false">G805+H805</f>
        <v>165870.021340846</v>
      </c>
    </row>
    <row r="806" customFormat="false" ht="15" hidden="false" customHeight="true" outlineLevel="0" collapsed="false">
      <c r="A806" s="4" t="s">
        <v>304</v>
      </c>
      <c r="B806" s="4" t="n">
        <v>196</v>
      </c>
      <c r="C806" s="24" t="n">
        <f aca="true">RAND()</f>
        <v>0.756313345556831</v>
      </c>
      <c r="D806" s="25" t="n">
        <f aca="false">IF(C806&lt;(($C$8-$B$8)/($D$8-$B$8)),$B$8+SQRT(C806*($D$8-$B$8)*($C$8-$B$8)),$D$8-SQRT((1-C806)*($D$8-$B$8)*($D$8-$C$8)))</f>
        <v>11.5846934018742</v>
      </c>
      <c r="E806" s="26" t="n">
        <f aca="true">MAX(0,$E$8+$F$8*_xlfn.NORM.S.INV(RAND()))</f>
        <v>0.693225229581394</v>
      </c>
      <c r="F806" s="27" t="n">
        <f aca="false">1/(1+EXP(-03_Inputs_Assumptions!$B$14*(E806-03_Inputs_Assumptions!$B$5)))</f>
        <v>0.00620180556448598</v>
      </c>
      <c r="G806" s="28" t="n">
        <f aca="false">D806*04_Baseline_PnL!$B$15*F806*04_Baseline_PnL!$B$14</f>
        <v>20544.3389641527</v>
      </c>
      <c r="H806" s="28" t="n">
        <f aca="false">D806*03_Inputs_Assumptions!$B$13*01_Macro_Data!$B$97*($G$8-1)+D806*04_Baseline_PnL!$B$15*04_Baseline_PnL!$B$13*03_Inputs_Assumptions!$B$15*($H$8-1)</f>
        <v>209038.333877033</v>
      </c>
      <c r="I806" s="16" t="n">
        <f aca="false">G806+H806</f>
        <v>229582.672841186</v>
      </c>
    </row>
    <row r="807" customFormat="false" ht="15" hidden="false" customHeight="true" outlineLevel="0" collapsed="false">
      <c r="A807" s="4" t="s">
        <v>304</v>
      </c>
      <c r="B807" s="4" t="n">
        <v>197</v>
      </c>
      <c r="C807" s="24" t="n">
        <f aca="true">RAND()</f>
        <v>0.769376537592737</v>
      </c>
      <c r="D807" s="25" t="n">
        <f aca="false">IF(C807&lt;(($C$8-$B$8)/($D$8-$B$8)),$B$8+SQRT(C807*($D$8-$B$8)*($C$8-$B$8)),$D$8-SQRT((1-C807)*($D$8-$B$8)*($D$8-$C$8)))</f>
        <v>11.7046679997256</v>
      </c>
      <c r="E807" s="26" t="n">
        <f aca="true">MAX(0,$E$8+$F$8*_xlfn.NORM.S.INV(RAND()))</f>
        <v>0</v>
      </c>
      <c r="F807" s="27" t="n">
        <f aca="false">1/(1+EXP(-03_Inputs_Assumptions!$B$14*(E807-03_Inputs_Assumptions!$B$5)))</f>
        <v>0.0052201256935584</v>
      </c>
      <c r="G807" s="28" t="n">
        <f aca="false">D807*04_Baseline_PnL!$B$15*F807*04_Baseline_PnL!$B$14</f>
        <v>17471.4737942755</v>
      </c>
      <c r="H807" s="28" t="n">
        <f aca="false">D807*03_Inputs_Assumptions!$B$13*01_Macro_Data!$B$97*($G$8-1)+D807*04_Baseline_PnL!$B$15*04_Baseline_PnL!$B$13*03_Inputs_Assumptions!$B$15*($H$8-1)</f>
        <v>211203.198252156</v>
      </c>
      <c r="I807" s="16" t="n">
        <f aca="false">G807+H807</f>
        <v>228674.672046431</v>
      </c>
    </row>
    <row r="808" customFormat="false" ht="15" hidden="false" customHeight="true" outlineLevel="0" collapsed="false">
      <c r="A808" s="4" t="s">
        <v>304</v>
      </c>
      <c r="B808" s="4" t="n">
        <v>198</v>
      </c>
      <c r="C808" s="24" t="n">
        <f aca="true">RAND()</f>
        <v>0.35012806335274</v>
      </c>
      <c r="D808" s="25" t="n">
        <f aca="false">IF(C808&lt;(($C$8-$B$8)/($D$8-$B$8)),$B$8+SQRT(C808*($D$8-$B$8)*($C$8-$B$8)),$D$8-SQRT((1-C808)*($D$8-$B$8)*($D$8-$C$8)))</f>
        <v>8.78960785173367</v>
      </c>
      <c r="E808" s="26" t="n">
        <f aca="true">MAX(0,$E$8+$F$8*_xlfn.NORM.S.INV(RAND()))</f>
        <v>0</v>
      </c>
      <c r="F808" s="27" t="n">
        <f aca="false">1/(1+EXP(-03_Inputs_Assumptions!$B$14*(E808-03_Inputs_Assumptions!$B$5)))</f>
        <v>0.0052201256935584</v>
      </c>
      <c r="G808" s="28" t="n">
        <f aca="false">D808*04_Baseline_PnL!$B$15*F808*04_Baseline_PnL!$B$14</f>
        <v>13120.1844637646</v>
      </c>
      <c r="H808" s="28" t="n">
        <f aca="false">D808*03_Inputs_Assumptions!$B$13*01_Macro_Data!$B$97*($G$8-1)+D808*04_Baseline_PnL!$B$15*04_Baseline_PnL!$B$13*03_Inputs_Assumptions!$B$15*($H$8-1)</f>
        <v>158602.814681453</v>
      </c>
      <c r="I808" s="16" t="n">
        <f aca="false">G808+H808</f>
        <v>171722.999145217</v>
      </c>
    </row>
    <row r="809" customFormat="false" ht="15" hidden="false" customHeight="true" outlineLevel="0" collapsed="false">
      <c r="A809" s="4" t="s">
        <v>304</v>
      </c>
      <c r="B809" s="4" t="n">
        <v>199</v>
      </c>
      <c r="C809" s="24" t="n">
        <f aca="true">RAND()</f>
        <v>0.653637296435787</v>
      </c>
      <c r="D809" s="25" t="n">
        <f aca="false">IF(C809&lt;(($C$8-$B$8)/($D$8-$B$8)),$B$8+SQRT(C809*($D$8-$B$8)*($C$8-$B$8)),$D$8-SQRT((1-C809)*($D$8-$B$8)*($D$8-$C$8)))</f>
        <v>10.7360645629779</v>
      </c>
      <c r="E809" s="26" t="n">
        <f aca="true">MAX(0,$E$8+$F$8*_xlfn.NORM.S.INV(RAND()))</f>
        <v>0</v>
      </c>
      <c r="F809" s="27" t="n">
        <f aca="false">1/(1+EXP(-03_Inputs_Assumptions!$B$14*(E809-03_Inputs_Assumptions!$B$5)))</f>
        <v>0.0052201256935584</v>
      </c>
      <c r="G809" s="28" t="n">
        <f aca="false">D809*04_Baseline_PnL!$B$15*F809*04_Baseline_PnL!$B$14</f>
        <v>16025.6464062129</v>
      </c>
      <c r="H809" s="28" t="n">
        <f aca="false">D809*03_Inputs_Assumptions!$B$13*01_Macro_Data!$B$97*($G$8-1)+D809*04_Baseline_PnL!$B$15*04_Baseline_PnL!$B$13*03_Inputs_Assumptions!$B$15*($H$8-1)</f>
        <v>193725.372850876</v>
      </c>
      <c r="I809" s="16" t="n">
        <f aca="false">G809+H809</f>
        <v>209751.019257089</v>
      </c>
    </row>
    <row r="810" customFormat="false" ht="15" hidden="false" customHeight="true" outlineLevel="0" collapsed="false">
      <c r="A810" s="4" t="s">
        <v>304</v>
      </c>
      <c r="B810" s="4" t="n">
        <v>200</v>
      </c>
      <c r="C810" s="24" t="n">
        <f aca="true">RAND()</f>
        <v>0.528059187494576</v>
      </c>
      <c r="D810" s="25" t="n">
        <f aca="false">IF(C810&lt;(($C$8-$B$8)/($D$8-$B$8)),$B$8+SQRT(C810*($D$8-$B$8)*($C$8-$B$8)),$D$8-SQRT((1-C810)*($D$8-$B$8)*($D$8-$C$8)))</f>
        <v>9.85546869155719</v>
      </c>
      <c r="E810" s="26" t="n">
        <f aca="true">MAX(0,$E$8+$F$8*_xlfn.NORM.S.INV(RAND()))</f>
        <v>0.532614213898004</v>
      </c>
      <c r="F810" s="27" t="n">
        <f aca="false">1/(1+EXP(-03_Inputs_Assumptions!$B$14*(E810-03_Inputs_Assumptions!$B$5)))</f>
        <v>0.00595917370887314</v>
      </c>
      <c r="G810" s="28" t="n">
        <f aca="false">D810*04_Baseline_PnL!$B$15*F810*04_Baseline_PnL!$B$14</f>
        <v>16793.9481924002</v>
      </c>
      <c r="H810" s="28" t="n">
        <f aca="false">D810*03_Inputs_Assumptions!$B$13*01_Macro_Data!$B$97*($G$8-1)+D810*04_Baseline_PnL!$B$15*04_Baseline_PnL!$B$13*03_Inputs_Assumptions!$B$15*($H$8-1)</f>
        <v>177835.587304113</v>
      </c>
      <c r="I810" s="16" t="n">
        <f aca="false">G810+H810</f>
        <v>194629.535496514</v>
      </c>
    </row>
    <row r="811" customFormat="false" ht="15" hidden="false" customHeight="true" outlineLevel="0" collapsed="false">
      <c r="A811" s="4" t="s">
        <v>304</v>
      </c>
      <c r="B811" s="4" t="n">
        <v>201</v>
      </c>
      <c r="C811" s="24" t="n">
        <f aca="true">RAND()</f>
        <v>0.780102843694187</v>
      </c>
      <c r="D811" s="25" t="n">
        <f aca="false">IF(C811&lt;(($C$8-$B$8)/($D$8-$B$8)),$B$8+SQRT(C811*($D$8-$B$8)*($C$8-$B$8)),$D$8-SQRT((1-C811)*($D$8-$B$8)*($D$8-$C$8)))</f>
        <v>11.8057452980935</v>
      </c>
      <c r="E811" s="26" t="n">
        <f aca="true">MAX(0,$E$8+$F$8*_xlfn.NORM.S.INV(RAND()))</f>
        <v>0.379955586015071</v>
      </c>
      <c r="F811" s="27" t="n">
        <f aca="false">1/(1+EXP(-03_Inputs_Assumptions!$B$14*(E811-03_Inputs_Assumptions!$B$5)))</f>
        <v>0.00573730934131193</v>
      </c>
      <c r="G811" s="28" t="n">
        <f aca="false">D811*04_Baseline_PnL!$B$15*F811*04_Baseline_PnL!$B$14</f>
        <v>19368.2845605644</v>
      </c>
      <c r="H811" s="28" t="n">
        <f aca="false">D811*03_Inputs_Assumptions!$B$13*01_Macro_Data!$B$97*($G$8-1)+D811*04_Baseline_PnL!$B$15*04_Baseline_PnL!$B$13*03_Inputs_Assumptions!$B$15*($H$8-1)</f>
        <v>213027.073024723</v>
      </c>
      <c r="I811" s="16" t="n">
        <f aca="false">G811+H811</f>
        <v>232395.357585288</v>
      </c>
    </row>
    <row r="812" customFormat="false" ht="15" hidden="false" customHeight="true" outlineLevel="0" collapsed="false">
      <c r="A812" s="4" t="s">
        <v>304</v>
      </c>
      <c r="B812" s="4" t="n">
        <v>202</v>
      </c>
      <c r="C812" s="24" t="n">
        <f aca="true">RAND()</f>
        <v>0.81647009428927</v>
      </c>
      <c r="D812" s="25" t="n">
        <f aca="false">IF(C812&lt;(($C$8-$B$8)/($D$8-$B$8)),$B$8+SQRT(C812*($D$8-$B$8)*($C$8-$B$8)),$D$8-SQRT((1-C812)*($D$8-$B$8)*($D$8-$C$8)))</f>
        <v>12.1682389875074</v>
      </c>
      <c r="E812" s="26" t="n">
        <f aca="true">MAX(0,$E$8+$F$8*_xlfn.NORM.S.INV(RAND()))</f>
        <v>0</v>
      </c>
      <c r="F812" s="27" t="n">
        <f aca="false">1/(1+EXP(-03_Inputs_Assumptions!$B$14*(E812-03_Inputs_Assumptions!$B$5)))</f>
        <v>0.0052201256935584</v>
      </c>
      <c r="G812" s="28" t="n">
        <f aca="false">D812*04_Baseline_PnL!$B$15*F812*04_Baseline_PnL!$B$14</f>
        <v>18163.4428757569</v>
      </c>
      <c r="H812" s="28" t="n">
        <f aca="false">D812*03_Inputs_Assumptions!$B$13*01_Macro_Data!$B$97*($G$8-1)+D812*04_Baseline_PnL!$B$15*04_Baseline_PnL!$B$13*03_Inputs_Assumptions!$B$15*($H$8-1)</f>
        <v>219568.038266304</v>
      </c>
      <c r="I812" s="16" t="n">
        <f aca="false">G812+H812</f>
        <v>237731.48114206</v>
      </c>
    </row>
    <row r="813" customFormat="false" ht="15" hidden="false" customHeight="true" outlineLevel="0" collapsed="false">
      <c r="A813" s="4" t="s">
        <v>304</v>
      </c>
      <c r="B813" s="4" t="n">
        <v>203</v>
      </c>
      <c r="C813" s="24" t="n">
        <f aca="true">RAND()</f>
        <v>0.275831231085049</v>
      </c>
      <c r="D813" s="25" t="n">
        <f aca="false">IF(C813&lt;(($C$8-$B$8)/($D$8-$B$8)),$B$8+SQRT(C813*($D$8-$B$8)*($C$8-$B$8)),$D$8-SQRT((1-C813)*($D$8-$B$8)*($D$8-$C$8)))</f>
        <v>8.38859398578711</v>
      </c>
      <c r="E813" s="26" t="n">
        <f aca="true">MAX(0,$E$8+$F$8*_xlfn.NORM.S.INV(RAND()))</f>
        <v>0.183789816083026</v>
      </c>
      <c r="F813" s="27" t="n">
        <f aca="false">1/(1+EXP(-03_Inputs_Assumptions!$B$14*(E813-03_Inputs_Assumptions!$B$5)))</f>
        <v>0.00546423165424577</v>
      </c>
      <c r="G813" s="28" t="n">
        <f aca="false">D813*04_Baseline_PnL!$B$15*F813*04_Baseline_PnL!$B$14</f>
        <v>13107.1345846974</v>
      </c>
      <c r="H813" s="28" t="n">
        <f aca="false">D813*03_Inputs_Assumptions!$B$13*01_Macro_Data!$B$97*($G$8-1)+D813*04_Baseline_PnL!$B$15*04_Baseline_PnL!$B$13*03_Inputs_Assumptions!$B$15*($H$8-1)</f>
        <v>151366.777654742</v>
      </c>
      <c r="I813" s="16" t="n">
        <f aca="false">G813+H813</f>
        <v>164473.912239439</v>
      </c>
    </row>
    <row r="814" customFormat="false" ht="15" hidden="false" customHeight="true" outlineLevel="0" collapsed="false">
      <c r="A814" s="4" t="s">
        <v>304</v>
      </c>
      <c r="B814" s="4" t="n">
        <v>204</v>
      </c>
      <c r="C814" s="24" t="n">
        <f aca="true">RAND()</f>
        <v>0.2797619132648</v>
      </c>
      <c r="D814" s="25" t="n">
        <f aca="false">IF(C814&lt;(($C$8-$B$8)/($D$8-$B$8)),$B$8+SQRT(C814*($D$8-$B$8)*($C$8-$B$8)),$D$8-SQRT((1-C814)*($D$8-$B$8)*($D$8-$C$8)))</f>
        <v>8.40927889204089</v>
      </c>
      <c r="E814" s="26" t="n">
        <f aca="true">MAX(0,$E$8+$F$8*_xlfn.NORM.S.INV(RAND()))</f>
        <v>0.100889473176431</v>
      </c>
      <c r="F814" s="27" t="n">
        <f aca="false">1/(1+EXP(-03_Inputs_Assumptions!$B$14*(E814-03_Inputs_Assumptions!$B$5)))</f>
        <v>0.00535275038570157</v>
      </c>
      <c r="G814" s="28" t="n">
        <f aca="false">D814*04_Baseline_PnL!$B$15*F814*04_Baseline_PnL!$B$14</f>
        <v>12871.3834553069</v>
      </c>
      <c r="H814" s="28" t="n">
        <f aca="false">D814*03_Inputs_Assumptions!$B$13*01_Macro_Data!$B$97*($G$8-1)+D814*04_Baseline_PnL!$B$15*04_Baseline_PnL!$B$13*03_Inputs_Assumptions!$B$15*($H$8-1)</f>
        <v>151740.023470552</v>
      </c>
      <c r="I814" s="16" t="n">
        <f aca="false">G814+H814</f>
        <v>164611.406925859</v>
      </c>
    </row>
    <row r="815" customFormat="false" ht="15" hidden="false" customHeight="true" outlineLevel="0" collapsed="false">
      <c r="A815" s="4" t="s">
        <v>304</v>
      </c>
      <c r="B815" s="4" t="n">
        <v>205</v>
      </c>
      <c r="C815" s="24" t="n">
        <f aca="true">RAND()</f>
        <v>0.0215155797766366</v>
      </c>
      <c r="D815" s="25" t="n">
        <f aca="false">IF(C815&lt;(($C$8-$B$8)/($D$8-$B$8)),$B$8+SQRT(C815*($D$8-$B$8)*($C$8-$B$8)),$D$8-SQRT((1-C815)*($D$8-$B$8)*($D$8-$C$8)))</f>
        <v>6.65598139877037</v>
      </c>
      <c r="E815" s="26" t="n">
        <f aca="true">MAX(0,$E$8+$F$8*_xlfn.NORM.S.INV(RAND()))</f>
        <v>0</v>
      </c>
      <c r="F815" s="27" t="n">
        <f aca="false">1/(1+EXP(-03_Inputs_Assumptions!$B$14*(E815-03_Inputs_Assumptions!$B$5)))</f>
        <v>0.0052201256935584</v>
      </c>
      <c r="G815" s="28" t="n">
        <f aca="false">D815*04_Baseline_PnL!$B$15*F815*04_Baseline_PnL!$B$14</f>
        <v>9935.33559316056</v>
      </c>
      <c r="H815" s="28" t="n">
        <f aca="false">D815*03_Inputs_Assumptions!$B$13*01_Macro_Data!$B$97*($G$8-1)+D815*04_Baseline_PnL!$B$15*04_Baseline_PnL!$B$13*03_Inputs_Assumptions!$B$15*($H$8-1)</f>
        <v>120102.899027987</v>
      </c>
      <c r="I815" s="16" t="n">
        <f aca="false">G815+H815</f>
        <v>130038.234621148</v>
      </c>
    </row>
    <row r="816" customFormat="false" ht="15" hidden="false" customHeight="true" outlineLevel="0" collapsed="false">
      <c r="A816" s="4" t="s">
        <v>304</v>
      </c>
      <c r="B816" s="4" t="n">
        <v>206</v>
      </c>
      <c r="C816" s="24" t="n">
        <f aca="true">RAND()</f>
        <v>0.503994217336083</v>
      </c>
      <c r="D816" s="25" t="n">
        <f aca="false">IF(C816&lt;(($C$8-$B$8)/($D$8-$B$8)),$B$8+SQRT(C816*($D$8-$B$8)*($C$8-$B$8)),$D$8-SQRT((1-C816)*($D$8-$B$8)*($D$8-$C$8)))</f>
        <v>9.70075698094498</v>
      </c>
      <c r="E816" s="26" t="n">
        <f aca="true">MAX(0,$E$8+$F$8*_xlfn.NORM.S.INV(RAND()))</f>
        <v>0</v>
      </c>
      <c r="F816" s="27" t="n">
        <f aca="false">1/(1+EXP(-03_Inputs_Assumptions!$B$14*(E816-03_Inputs_Assumptions!$B$5)))</f>
        <v>0.0052201256935584</v>
      </c>
      <c r="G816" s="28" t="n">
        <f aca="false">D816*04_Baseline_PnL!$B$15*F816*04_Baseline_PnL!$B$14</f>
        <v>14480.2502199283</v>
      </c>
      <c r="H816" s="28" t="n">
        <f aca="false">D816*03_Inputs_Assumptions!$B$13*01_Macro_Data!$B$97*($G$8-1)+D816*04_Baseline_PnL!$B$15*04_Baseline_PnL!$B$13*03_Inputs_Assumptions!$B$15*($H$8-1)</f>
        <v>175043.914093978</v>
      </c>
      <c r="I816" s="16" t="n">
        <f aca="false">G816+H816</f>
        <v>189524.164313907</v>
      </c>
    </row>
    <row r="817" customFormat="false" ht="15" hidden="false" customHeight="true" outlineLevel="0" collapsed="false">
      <c r="A817" s="4" t="s">
        <v>304</v>
      </c>
      <c r="B817" s="4" t="n">
        <v>207</v>
      </c>
      <c r="C817" s="24" t="n">
        <f aca="true">RAND()</f>
        <v>0.698896100000055</v>
      </c>
      <c r="D817" s="25" t="n">
        <f aca="false">IF(C817&lt;(($C$8-$B$8)/($D$8-$B$8)),$B$8+SQRT(C817*($D$8-$B$8)*($C$8-$B$8)),$D$8-SQRT((1-C817)*($D$8-$B$8)*($D$8-$C$8)))</f>
        <v>11.0920154849475</v>
      </c>
      <c r="E817" s="26" t="n">
        <f aca="true">MAX(0,$E$8+$F$8*_xlfn.NORM.S.INV(RAND()))</f>
        <v>0</v>
      </c>
      <c r="F817" s="27" t="n">
        <f aca="false">1/(1+EXP(-03_Inputs_Assumptions!$B$14*(E817-03_Inputs_Assumptions!$B$5)))</f>
        <v>0.0052201256935584</v>
      </c>
      <c r="G817" s="28" t="n">
        <f aca="false">D817*04_Baseline_PnL!$B$15*F817*04_Baseline_PnL!$B$14</f>
        <v>16556.9717889905</v>
      </c>
      <c r="H817" s="28" t="n">
        <f aca="false">D817*03_Inputs_Assumptions!$B$13*01_Macro_Data!$B$97*($G$8-1)+D817*04_Baseline_PnL!$B$15*04_Baseline_PnL!$B$13*03_Inputs_Assumptions!$B$15*($H$8-1)</f>
        <v>200148.278066346</v>
      </c>
      <c r="I817" s="16" t="n">
        <f aca="false">G817+H817</f>
        <v>216705.249855336</v>
      </c>
    </row>
    <row r="818" customFormat="false" ht="15" hidden="false" customHeight="true" outlineLevel="0" collapsed="false">
      <c r="A818" s="4" t="s">
        <v>304</v>
      </c>
      <c r="B818" s="4" t="n">
        <v>208</v>
      </c>
      <c r="C818" s="24" t="n">
        <f aca="true">RAND()</f>
        <v>0.847122217497574</v>
      </c>
      <c r="D818" s="25" t="n">
        <f aca="false">IF(C818&lt;(($C$8-$B$8)/($D$8-$B$8)),$B$8+SQRT(C818*($D$8-$B$8)*($C$8-$B$8)),$D$8-SQRT((1-C818)*($D$8-$B$8)*($D$8-$C$8)))</f>
        <v>12.5028264841169</v>
      </c>
      <c r="E818" s="26" t="n">
        <f aca="true">MAX(0,$E$8+$F$8*_xlfn.NORM.S.INV(RAND()))</f>
        <v>0</v>
      </c>
      <c r="F818" s="27" t="n">
        <f aca="false">1/(1+EXP(-03_Inputs_Assumptions!$B$14*(E818-03_Inputs_Assumptions!$B$5)))</f>
        <v>0.0052201256935584</v>
      </c>
      <c r="G818" s="28" t="n">
        <f aca="false">D818*04_Baseline_PnL!$B$15*F818*04_Baseline_PnL!$B$14</f>
        <v>18662.8792270522</v>
      </c>
      <c r="H818" s="28" t="n">
        <f aca="false">D818*03_Inputs_Assumptions!$B$13*01_Macro_Data!$B$97*($G$8-1)+D818*04_Baseline_PnL!$B$15*04_Baseline_PnL!$B$13*03_Inputs_Assumptions!$B$15*($H$8-1)</f>
        <v>225605.454225541</v>
      </c>
      <c r="I818" s="16" t="n">
        <f aca="false">G818+H818</f>
        <v>244268.333452593</v>
      </c>
    </row>
    <row r="819" customFormat="false" ht="15" hidden="false" customHeight="true" outlineLevel="0" collapsed="false">
      <c r="A819" s="4" t="s">
        <v>304</v>
      </c>
      <c r="B819" s="4" t="n">
        <v>209</v>
      </c>
      <c r="C819" s="24" t="n">
        <f aca="true">RAND()</f>
        <v>0.916037063111148</v>
      </c>
      <c r="D819" s="25" t="n">
        <f aca="false">IF(C819&lt;(($C$8-$B$8)/($D$8-$B$8)),$B$8+SQRT(C819*($D$8-$B$8)*($C$8-$B$8)),$D$8-SQRT((1-C819)*($D$8-$B$8)*($D$8-$C$8)))</f>
        <v>13.4082756799559</v>
      </c>
      <c r="E819" s="26" t="n">
        <f aca="true">MAX(0,$E$8+$F$8*_xlfn.NORM.S.INV(RAND()))</f>
        <v>0</v>
      </c>
      <c r="F819" s="27" t="n">
        <f aca="false">1/(1+EXP(-03_Inputs_Assumptions!$B$14*(E819-03_Inputs_Assumptions!$B$5)))</f>
        <v>0.0052201256935584</v>
      </c>
      <c r="G819" s="28" t="n">
        <f aca="false">D819*04_Baseline_PnL!$B$15*F819*04_Baseline_PnL!$B$14</f>
        <v>20014.4367336401</v>
      </c>
      <c r="H819" s="28" t="n">
        <f aca="false">D819*03_Inputs_Assumptions!$B$13*01_Macro_Data!$B$97*($G$8-1)+D819*04_Baseline_PnL!$B$15*04_Baseline_PnL!$B$13*03_Inputs_Assumptions!$B$15*($H$8-1)</f>
        <v>241943.702010144</v>
      </c>
      <c r="I819" s="16" t="n">
        <f aca="false">G819+H819</f>
        <v>261958.138743784</v>
      </c>
    </row>
    <row r="820" customFormat="false" ht="15" hidden="false" customHeight="true" outlineLevel="0" collapsed="false">
      <c r="A820" s="4" t="s">
        <v>304</v>
      </c>
      <c r="B820" s="4" t="n">
        <v>210</v>
      </c>
      <c r="C820" s="24" t="n">
        <f aca="true">RAND()</f>
        <v>0.484412634110212</v>
      </c>
      <c r="D820" s="25" t="n">
        <f aca="false">IF(C820&lt;(($C$8-$B$8)/($D$8-$B$8)),$B$8+SQRT(C820*($D$8-$B$8)*($C$8-$B$8)),$D$8-SQRT((1-C820)*($D$8-$B$8)*($D$8-$C$8)))</f>
        <v>9.57761809986489</v>
      </c>
      <c r="E820" s="26" t="n">
        <f aca="true">MAX(0,$E$8+$F$8*_xlfn.NORM.S.INV(RAND()))</f>
        <v>0</v>
      </c>
      <c r="F820" s="27" t="n">
        <f aca="false">1/(1+EXP(-03_Inputs_Assumptions!$B$14*(E820-03_Inputs_Assumptions!$B$5)))</f>
        <v>0.0052201256935584</v>
      </c>
      <c r="G820" s="28" t="n">
        <f aca="false">D820*04_Baseline_PnL!$B$15*F820*04_Baseline_PnL!$B$14</f>
        <v>14296.4416972178</v>
      </c>
      <c r="H820" s="28" t="n">
        <f aca="false">D820*03_Inputs_Assumptions!$B$13*01_Macro_Data!$B$97*($G$8-1)+D820*04_Baseline_PnL!$B$15*04_Baseline_PnL!$B$13*03_Inputs_Assumptions!$B$15*($H$8-1)</f>
        <v>172821.952265252</v>
      </c>
      <c r="I820" s="16" t="n">
        <f aca="false">G820+H820</f>
        <v>187118.39396247</v>
      </c>
    </row>
    <row r="821" customFormat="false" ht="15" hidden="false" customHeight="true" outlineLevel="0" collapsed="false">
      <c r="A821" s="4" t="s">
        <v>304</v>
      </c>
      <c r="B821" s="4" t="n">
        <v>211</v>
      </c>
      <c r="C821" s="24" t="n">
        <f aca="true">RAND()</f>
        <v>0.762541661706443</v>
      </c>
      <c r="D821" s="25" t="n">
        <f aca="false">IF(C821&lt;(($C$8-$B$8)/($D$8-$B$8)),$B$8+SQRT(C821*($D$8-$B$8)*($C$8-$B$8)),$D$8-SQRT((1-C821)*($D$8-$B$8)*($D$8-$C$8)))</f>
        <v>11.6414833872653</v>
      </c>
      <c r="E821" s="26" t="n">
        <f aca="true">MAX(0,$E$8+$F$8*_xlfn.NORM.S.INV(RAND()))</f>
        <v>0.151945907577497</v>
      </c>
      <c r="F821" s="27" t="n">
        <f aca="false">1/(1+EXP(-03_Inputs_Assumptions!$B$14*(E821-03_Inputs_Assumptions!$B$5)))</f>
        <v>0.00542113861289214</v>
      </c>
      <c r="G821" s="28" t="n">
        <f aca="false">D821*04_Baseline_PnL!$B$15*F821*04_Baseline_PnL!$B$14</f>
        <v>18046.305946725</v>
      </c>
      <c r="H821" s="28" t="n">
        <f aca="false">D821*03_Inputs_Assumptions!$B$13*01_Macro_Data!$B$97*($G$8-1)+D821*04_Baseline_PnL!$B$15*04_Baseline_PnL!$B$13*03_Inputs_Assumptions!$B$15*($H$8-1)</f>
        <v>210063.072600385</v>
      </c>
      <c r="I821" s="16" t="n">
        <f aca="false">G821+H821</f>
        <v>228109.37854711</v>
      </c>
    </row>
    <row r="822" customFormat="false" ht="15" hidden="false" customHeight="true" outlineLevel="0" collapsed="false">
      <c r="A822" s="4" t="s">
        <v>304</v>
      </c>
      <c r="B822" s="4" t="n">
        <v>212</v>
      </c>
      <c r="C822" s="24" t="n">
        <f aca="true">RAND()</f>
        <v>0.507521553360211</v>
      </c>
      <c r="D822" s="25" t="n">
        <f aca="false">IF(C822&lt;(($C$8-$B$8)/($D$8-$B$8)),$B$8+SQRT(C822*($D$8-$B$8)*($C$8-$B$8)),$D$8-SQRT((1-C822)*($D$8-$B$8)*($D$8-$C$8)))</f>
        <v>9.72319542034459</v>
      </c>
      <c r="E822" s="26" t="n">
        <f aca="true">MAX(0,$E$8+$F$8*_xlfn.NORM.S.INV(RAND()))</f>
        <v>0</v>
      </c>
      <c r="F822" s="27" t="n">
        <f aca="false">1/(1+EXP(-03_Inputs_Assumptions!$B$14*(E822-03_Inputs_Assumptions!$B$5)))</f>
        <v>0.0052201256935584</v>
      </c>
      <c r="G822" s="28" t="n">
        <f aca="false">D822*04_Baseline_PnL!$B$15*F822*04_Baseline_PnL!$B$14</f>
        <v>14513.7439171407</v>
      </c>
      <c r="H822" s="28" t="n">
        <f aca="false">D822*03_Inputs_Assumptions!$B$13*01_Macro_Data!$B$97*($G$8-1)+D822*04_Baseline_PnL!$B$15*04_Baseline_PnL!$B$13*03_Inputs_Assumptions!$B$15*($H$8-1)</f>
        <v>175448.80128643</v>
      </c>
      <c r="I822" s="16" t="n">
        <f aca="false">G822+H822</f>
        <v>189962.54520357</v>
      </c>
    </row>
    <row r="823" customFormat="false" ht="15" hidden="false" customHeight="true" outlineLevel="0" collapsed="false">
      <c r="A823" s="4" t="s">
        <v>304</v>
      </c>
      <c r="B823" s="4" t="n">
        <v>213</v>
      </c>
      <c r="C823" s="24" t="n">
        <f aca="true">RAND()</f>
        <v>0.95964692823231</v>
      </c>
      <c r="D823" s="25" t="n">
        <f aca="false">IF(C823&lt;(($C$8-$B$8)/($D$8-$B$8)),$B$8+SQRT(C823*($D$8-$B$8)*($C$8-$B$8)),$D$8-SQRT((1-C823)*($D$8-$B$8)*($D$8-$C$8)))</f>
        <v>14.2032680385168</v>
      </c>
      <c r="E823" s="26" t="n">
        <f aca="true">MAX(0,$E$8+$F$8*_xlfn.NORM.S.INV(RAND()))</f>
        <v>0.451201977119966</v>
      </c>
      <c r="F823" s="27" t="n">
        <f aca="false">1/(1+EXP(-03_Inputs_Assumptions!$B$14*(E823-03_Inputs_Assumptions!$B$5)))</f>
        <v>0.00583981338373818</v>
      </c>
      <c r="G823" s="28" t="n">
        <f aca="false">D823*04_Baseline_PnL!$B$15*F823*04_Baseline_PnL!$B$14</f>
        <v>23717.9272867937</v>
      </c>
      <c r="H823" s="28" t="n">
        <f aca="false">D823*03_Inputs_Assumptions!$B$13*01_Macro_Data!$B$97*($G$8-1)+D823*04_Baseline_PnL!$B$15*04_Baseline_PnL!$B$13*03_Inputs_Assumptions!$B$15*($H$8-1)</f>
        <v>256288.827281363</v>
      </c>
      <c r="I823" s="16" t="n">
        <f aca="false">G823+H823</f>
        <v>280006.754568157</v>
      </c>
    </row>
    <row r="824" customFormat="false" ht="15" hidden="false" customHeight="true" outlineLevel="0" collapsed="false">
      <c r="A824" s="4" t="s">
        <v>304</v>
      </c>
      <c r="B824" s="4" t="n">
        <v>214</v>
      </c>
      <c r="C824" s="24" t="n">
        <f aca="true">RAND()</f>
        <v>0.288194599530836</v>
      </c>
      <c r="D824" s="25" t="n">
        <f aca="false">IF(C824&lt;(($C$8-$B$8)/($D$8-$B$8)),$B$8+SQRT(C824*($D$8-$B$8)*($C$8-$B$8)),$D$8-SQRT((1-C824)*($D$8-$B$8)*($D$8-$C$8)))</f>
        <v>8.45384654028736</v>
      </c>
      <c r="E824" s="26" t="n">
        <f aca="true">MAX(0,$E$8+$F$8*_xlfn.NORM.S.INV(RAND()))</f>
        <v>0.0106753993033536</v>
      </c>
      <c r="F824" s="27" t="n">
        <f aca="false">1/(1+EXP(-03_Inputs_Assumptions!$B$14*(E824-03_Inputs_Assumptions!$B$5)))</f>
        <v>0.0052340030163898</v>
      </c>
      <c r="G824" s="28" t="n">
        <f aca="false">D824*04_Baseline_PnL!$B$15*F824*04_Baseline_PnL!$B$14</f>
        <v>12652.542646474</v>
      </c>
      <c r="H824" s="28" t="n">
        <f aca="false">D824*03_Inputs_Assumptions!$B$13*01_Macro_Data!$B$97*($G$8-1)+D824*04_Baseline_PnL!$B$15*04_Baseline_PnL!$B$13*03_Inputs_Assumptions!$B$15*($H$8-1)</f>
        <v>152544.217989222</v>
      </c>
      <c r="I824" s="16" t="n">
        <f aca="false">G824+H824</f>
        <v>165196.760635696</v>
      </c>
    </row>
    <row r="825" customFormat="false" ht="15" hidden="false" customHeight="true" outlineLevel="0" collapsed="false">
      <c r="A825" s="4" t="s">
        <v>304</v>
      </c>
      <c r="B825" s="4" t="n">
        <v>215</v>
      </c>
      <c r="C825" s="24" t="n">
        <f aca="true">RAND()</f>
        <v>0.509911150725575</v>
      </c>
      <c r="D825" s="25" t="n">
        <f aca="false">IF(C825&lt;(($C$8-$B$8)/($D$8-$B$8)),$B$8+SQRT(C825*($D$8-$B$8)*($C$8-$B$8)),$D$8-SQRT((1-C825)*($D$8-$B$8)*($D$8-$C$8)))</f>
        <v>9.73844205153749</v>
      </c>
      <c r="E825" s="26" t="n">
        <f aca="true">MAX(0,$E$8+$F$8*_xlfn.NORM.S.INV(RAND()))</f>
        <v>0</v>
      </c>
      <c r="F825" s="27" t="n">
        <f aca="false">1/(1+EXP(-03_Inputs_Assumptions!$B$14*(E825-03_Inputs_Assumptions!$B$5)))</f>
        <v>0.0052201256935584</v>
      </c>
      <c r="G825" s="28" t="n">
        <f aca="false">D825*04_Baseline_PnL!$B$15*F825*04_Baseline_PnL!$B$14</f>
        <v>14536.5024539351</v>
      </c>
      <c r="H825" s="28" t="n">
        <f aca="false">D825*03_Inputs_Assumptions!$B$13*01_Macro_Data!$B$97*($G$8-1)+D825*04_Baseline_PnL!$B$15*04_Baseline_PnL!$B$13*03_Inputs_Assumptions!$B$15*($H$8-1)</f>
        <v>175723.916930085</v>
      </c>
      <c r="I825" s="16" t="n">
        <f aca="false">G825+H825</f>
        <v>190260.41938402</v>
      </c>
    </row>
    <row r="826" customFormat="false" ht="15" hidden="false" customHeight="true" outlineLevel="0" collapsed="false">
      <c r="A826" s="4" t="s">
        <v>304</v>
      </c>
      <c r="B826" s="4" t="n">
        <v>216</v>
      </c>
      <c r="C826" s="24" t="n">
        <f aca="true">RAND()</f>
        <v>0.0728124136002172</v>
      </c>
      <c r="D826" s="25" t="n">
        <f aca="false">IF(C826&lt;(($C$8-$B$8)/($D$8-$B$8)),$B$8+SQRT(C826*($D$8-$B$8)*($C$8-$B$8)),$D$8-SQRT((1-C826)*($D$8-$B$8)*($D$8-$C$8)))</f>
        <v>7.20675112264474</v>
      </c>
      <c r="E826" s="26" t="n">
        <f aca="true">MAX(0,$E$8+$F$8*_xlfn.NORM.S.INV(RAND()))</f>
        <v>0.238512044587913</v>
      </c>
      <c r="F826" s="27" t="n">
        <f aca="false">1/(1+EXP(-03_Inputs_Assumptions!$B$14*(E826-03_Inputs_Assumptions!$B$5)))</f>
        <v>0.00553908215132343</v>
      </c>
      <c r="G826" s="28" t="n">
        <f aca="false">D826*04_Baseline_PnL!$B$15*F826*04_Baseline_PnL!$B$14</f>
        <v>11414.760717144</v>
      </c>
      <c r="H826" s="28" t="n">
        <f aca="false">D826*03_Inputs_Assumptions!$B$13*01_Macro_Data!$B$97*($G$8-1)+D826*04_Baseline_PnL!$B$15*04_Baseline_PnL!$B$13*03_Inputs_Assumptions!$B$15*($H$8-1)</f>
        <v>130041.184093864</v>
      </c>
      <c r="I826" s="16" t="n">
        <f aca="false">G826+H826</f>
        <v>141455.944811009</v>
      </c>
    </row>
    <row r="827" customFormat="false" ht="15" hidden="false" customHeight="true" outlineLevel="0" collapsed="false">
      <c r="A827" s="4" t="s">
        <v>304</v>
      </c>
      <c r="B827" s="4" t="n">
        <v>217</v>
      </c>
      <c r="C827" s="24" t="n">
        <f aca="true">RAND()</f>
        <v>0.819666728483226</v>
      </c>
      <c r="D827" s="25" t="n">
        <f aca="false">IF(C827&lt;(($C$8-$B$8)/($D$8-$B$8)),$B$8+SQRT(C827*($D$8-$B$8)*($C$8-$B$8)),$D$8-SQRT((1-C827)*($D$8-$B$8)*($D$8-$C$8)))</f>
        <v>12.2017554421362</v>
      </c>
      <c r="E827" s="26" t="n">
        <f aca="true">MAX(0,$E$8+$F$8*_xlfn.NORM.S.INV(RAND()))</f>
        <v>0.147288372543359</v>
      </c>
      <c r="F827" s="27" t="n">
        <f aca="false">1/(1+EXP(-03_Inputs_Assumptions!$B$14*(E827-03_Inputs_Assumptions!$B$5)))</f>
        <v>0.00541486416095229</v>
      </c>
      <c r="G827" s="28" t="n">
        <f aca="false">D827*04_Baseline_PnL!$B$15*F827*04_Baseline_PnL!$B$14</f>
        <v>18892.9320998301</v>
      </c>
      <c r="H827" s="28" t="n">
        <f aca="false">D827*03_Inputs_Assumptions!$B$13*01_Macro_Data!$B$97*($G$8-1)+D827*04_Baseline_PnL!$B$15*04_Baseline_PnL!$B$13*03_Inputs_Assumptions!$B$15*($H$8-1)</f>
        <v>220172.82111122</v>
      </c>
      <c r="I827" s="16" t="n">
        <f aca="false">G827+H827</f>
        <v>239065.753211051</v>
      </c>
    </row>
    <row r="828" customFormat="false" ht="15" hidden="false" customHeight="true" outlineLevel="0" collapsed="false">
      <c r="A828" s="4" t="s">
        <v>304</v>
      </c>
      <c r="B828" s="4" t="n">
        <v>218</v>
      </c>
      <c r="C828" s="24" t="n">
        <f aca="true">RAND()</f>
        <v>0.336373699293433</v>
      </c>
      <c r="D828" s="25" t="n">
        <f aca="false">IF(C828&lt;(($C$8-$B$8)/($D$8-$B$8)),$B$8+SQRT(C828*($D$8-$B$8)*($C$8-$B$8)),$D$8-SQRT((1-C828)*($D$8-$B$8)*($D$8-$C$8)))</f>
        <v>8.71370436665342</v>
      </c>
      <c r="E828" s="26" t="n">
        <f aca="true">MAX(0,$E$8+$F$8*_xlfn.NORM.S.INV(RAND()))</f>
        <v>0</v>
      </c>
      <c r="F828" s="27" t="n">
        <f aca="false">1/(1+EXP(-03_Inputs_Assumptions!$B$14*(E828-03_Inputs_Assumptions!$B$5)))</f>
        <v>0.0052201256935584</v>
      </c>
      <c r="G828" s="28" t="n">
        <f aca="false">D828*04_Baseline_PnL!$B$15*F828*04_Baseline_PnL!$B$14</f>
        <v>13006.8838771521</v>
      </c>
      <c r="H828" s="28" t="n">
        <f aca="false">D828*03_Inputs_Assumptions!$B$13*01_Macro_Data!$B$97*($G$8-1)+D828*04_Baseline_PnL!$B$15*04_Baseline_PnL!$B$13*03_Inputs_Assumptions!$B$15*($H$8-1)</f>
        <v>157233.185162033</v>
      </c>
      <c r="I828" s="16" t="n">
        <f aca="false">G828+H828</f>
        <v>170240.069039185</v>
      </c>
    </row>
    <row r="829" customFormat="false" ht="15" hidden="false" customHeight="true" outlineLevel="0" collapsed="false">
      <c r="A829" s="4" t="s">
        <v>304</v>
      </c>
      <c r="B829" s="4" t="n">
        <v>219</v>
      </c>
      <c r="C829" s="24" t="n">
        <f aca="true">RAND()</f>
        <v>0.693589948121419</v>
      </c>
      <c r="D829" s="25" t="n">
        <f aca="false">IF(C829&lt;(($C$8-$B$8)/($D$8-$B$8)),$B$8+SQRT(C829*($D$8-$B$8)*($C$8-$B$8)),$D$8-SQRT((1-C829)*($D$8-$B$8)*($D$8-$C$8)))</f>
        <v>11.0489592861413</v>
      </c>
      <c r="E829" s="26" t="n">
        <f aca="true">MAX(0,$E$8+$F$8*_xlfn.NORM.S.INV(RAND()))</f>
        <v>0</v>
      </c>
      <c r="F829" s="27" t="n">
        <f aca="false">1/(1+EXP(-03_Inputs_Assumptions!$B$14*(E829-03_Inputs_Assumptions!$B$5)))</f>
        <v>0.0052201256935584</v>
      </c>
      <c r="G829" s="28" t="n">
        <f aca="false">D829*04_Baseline_PnL!$B$15*F829*04_Baseline_PnL!$B$14</f>
        <v>16492.7021105049</v>
      </c>
      <c r="H829" s="28" t="n">
        <f aca="false">D829*03_Inputs_Assumptions!$B$13*01_Macro_Data!$B$97*($G$8-1)+D829*04_Baseline_PnL!$B$15*04_Baseline_PnL!$B$13*03_Inputs_Assumptions!$B$15*($H$8-1)</f>
        <v>199371.356679711</v>
      </c>
      <c r="I829" s="16" t="n">
        <f aca="false">G829+H829</f>
        <v>215864.058790216</v>
      </c>
    </row>
    <row r="830" customFormat="false" ht="15" hidden="false" customHeight="true" outlineLevel="0" collapsed="false">
      <c r="A830" s="4" t="s">
        <v>304</v>
      </c>
      <c r="B830" s="4" t="n">
        <v>220</v>
      </c>
      <c r="C830" s="24" t="n">
        <f aca="true">RAND()</f>
        <v>0.868481275652618</v>
      </c>
      <c r="D830" s="25" t="n">
        <f aca="false">IF(C830&lt;(($C$8-$B$8)/($D$8-$B$8)),$B$8+SQRT(C830*($D$8-$B$8)*($C$8-$B$8)),$D$8-SQRT((1-C830)*($D$8-$B$8)*($D$8-$C$8)))</f>
        <v>12.7563141416298</v>
      </c>
      <c r="E830" s="26" t="n">
        <f aca="true">MAX(0,$E$8+$F$8*_xlfn.NORM.S.INV(RAND()))</f>
        <v>0</v>
      </c>
      <c r="F830" s="27" t="n">
        <f aca="false">1/(1+EXP(-03_Inputs_Assumptions!$B$14*(E830-03_Inputs_Assumptions!$B$5)))</f>
        <v>0.0052201256935584</v>
      </c>
      <c r="G830" s="28" t="n">
        <f aca="false">D830*04_Baseline_PnL!$B$15*F830*04_Baseline_PnL!$B$14</f>
        <v>19041.2584314442</v>
      </c>
      <c r="H830" s="28" t="n">
        <f aca="false">D830*03_Inputs_Assumptions!$B$13*01_Macro_Data!$B$97*($G$8-1)+D830*04_Baseline_PnL!$B$15*04_Baseline_PnL!$B$13*03_Inputs_Assumptions!$B$15*($H$8-1)</f>
        <v>230179.475802695</v>
      </c>
      <c r="I830" s="16" t="n">
        <f aca="false">G830+H830</f>
        <v>249220.73423414</v>
      </c>
    </row>
    <row r="831" customFormat="false" ht="15" hidden="false" customHeight="true" outlineLevel="0" collapsed="false">
      <c r="A831" s="4" t="s">
        <v>304</v>
      </c>
      <c r="B831" s="4" t="n">
        <v>221</v>
      </c>
      <c r="C831" s="24" t="n">
        <f aca="true">RAND()</f>
        <v>0.930466362311349</v>
      </c>
      <c r="D831" s="25" t="n">
        <f aca="false">IF(C831&lt;(($C$8-$B$8)/($D$8-$B$8)),$B$8+SQRT(C831*($D$8-$B$8)*($C$8-$B$8)),$D$8-SQRT((1-C831)*($D$8-$B$8)*($D$8-$C$8)))</f>
        <v>13.641464222215</v>
      </c>
      <c r="E831" s="26" t="n">
        <f aca="true">MAX(0,$E$8+$F$8*_xlfn.NORM.S.INV(RAND()))</f>
        <v>0.301363171277921</v>
      </c>
      <c r="F831" s="27" t="n">
        <f aca="false">1/(1+EXP(-03_Inputs_Assumptions!$B$14*(E831-03_Inputs_Assumptions!$B$5)))</f>
        <v>0.005626310361612</v>
      </c>
      <c r="G831" s="28" t="n">
        <f aca="false">D831*04_Baseline_PnL!$B$15*F831*04_Baseline_PnL!$B$14</f>
        <v>21946.9490207355</v>
      </c>
      <c r="H831" s="28" t="n">
        <f aca="false">D831*03_Inputs_Assumptions!$B$13*01_Macro_Data!$B$97*($G$8-1)+D831*04_Baseline_PnL!$B$15*04_Baseline_PnL!$B$13*03_Inputs_Assumptions!$B$15*($H$8-1)</f>
        <v>246151.439121699</v>
      </c>
      <c r="I831" s="16" t="n">
        <f aca="false">G831+H831</f>
        <v>268098.388142434</v>
      </c>
    </row>
    <row r="832" customFormat="false" ht="15" hidden="false" customHeight="true" outlineLevel="0" collapsed="false">
      <c r="A832" s="4" t="s">
        <v>304</v>
      </c>
      <c r="B832" s="4" t="n">
        <v>222</v>
      </c>
      <c r="C832" s="24" t="n">
        <f aca="true">RAND()</f>
        <v>0.351955081927673</v>
      </c>
      <c r="D832" s="25" t="n">
        <f aca="false">IF(C832&lt;(($C$8-$B$8)/($D$8-$B$8)),$B$8+SQRT(C832*($D$8-$B$8)*($C$8-$B$8)),$D$8-SQRT((1-C832)*($D$8-$B$8)*($D$8-$C$8)))</f>
        <v>8.79975045947808</v>
      </c>
      <c r="E832" s="26" t="n">
        <f aca="true">MAX(0,$E$8+$F$8*_xlfn.NORM.S.INV(RAND()))</f>
        <v>0.138713373031145</v>
      </c>
      <c r="F832" s="27" t="n">
        <f aca="false">1/(1+EXP(-03_Inputs_Assumptions!$B$14*(E832-03_Inputs_Assumptions!$B$5)))</f>
        <v>0.00540333113543131</v>
      </c>
      <c r="G832" s="28" t="n">
        <f aca="false">D832*04_Baseline_PnL!$B$15*F832*04_Baseline_PnL!$B$14</f>
        <v>13596.3213765953</v>
      </c>
      <c r="H832" s="28" t="n">
        <f aca="false">D832*03_Inputs_Assumptions!$B$13*01_Macro_Data!$B$97*($G$8-1)+D832*04_Baseline_PnL!$B$15*04_Baseline_PnL!$B$13*03_Inputs_Assumptions!$B$15*($H$8-1)</f>
        <v>158785.831508097</v>
      </c>
      <c r="I832" s="16" t="n">
        <f aca="false">G832+H832</f>
        <v>172382.152884692</v>
      </c>
    </row>
    <row r="833" customFormat="false" ht="15" hidden="false" customHeight="true" outlineLevel="0" collapsed="false">
      <c r="A833" s="4" t="s">
        <v>304</v>
      </c>
      <c r="B833" s="4" t="n">
        <v>223</v>
      </c>
      <c r="C833" s="24" t="n">
        <f aca="true">RAND()</f>
        <v>0.136566265558555</v>
      </c>
      <c r="D833" s="25" t="n">
        <f aca="false">IF(C833&lt;(($C$8-$B$8)/($D$8-$B$8)),$B$8+SQRT(C833*($D$8-$B$8)*($C$8-$B$8)),$D$8-SQRT((1-C833)*($D$8-$B$8)*($D$8-$C$8)))</f>
        <v>7.65267217292817</v>
      </c>
      <c r="E833" s="26" t="n">
        <f aca="true">MAX(0,$E$8+$F$8*_xlfn.NORM.S.INV(RAND()))</f>
        <v>0.506585116256689</v>
      </c>
      <c r="F833" s="27" t="n">
        <f aca="false">1/(1+EXP(-03_Inputs_Assumptions!$B$14*(E833-03_Inputs_Assumptions!$B$5)))</f>
        <v>0.00592075047587094</v>
      </c>
      <c r="G833" s="28" t="n">
        <f aca="false">D833*04_Baseline_PnL!$B$15*F833*04_Baseline_PnL!$B$14</f>
        <v>12956.2508855803</v>
      </c>
      <c r="H833" s="28" t="n">
        <f aca="false">D833*03_Inputs_Assumptions!$B$13*01_Macro_Data!$B$97*($G$8-1)+D833*04_Baseline_PnL!$B$15*04_Baseline_PnL!$B$13*03_Inputs_Assumptions!$B$15*($H$8-1)</f>
        <v>138087.542349394</v>
      </c>
      <c r="I833" s="16" t="n">
        <f aca="false">G833+H833</f>
        <v>151043.793234974</v>
      </c>
    </row>
    <row r="834" customFormat="false" ht="15" hidden="false" customHeight="true" outlineLevel="0" collapsed="false">
      <c r="A834" s="4" t="s">
        <v>304</v>
      </c>
      <c r="B834" s="4" t="n">
        <v>224</v>
      </c>
      <c r="C834" s="24" t="n">
        <f aca="true">RAND()</f>
        <v>0.453158364787335</v>
      </c>
      <c r="D834" s="25" t="n">
        <f aca="false">IF(C834&lt;(($C$8-$B$8)/($D$8-$B$8)),$B$8+SQRT(C834*($D$8-$B$8)*($C$8-$B$8)),$D$8-SQRT((1-C834)*($D$8-$B$8)*($D$8-$C$8)))</f>
        <v>9.38582349668432</v>
      </c>
      <c r="E834" s="26" t="n">
        <f aca="true">MAX(0,$E$8+$F$8*_xlfn.NORM.S.INV(RAND()))</f>
        <v>0.131085320398338</v>
      </c>
      <c r="F834" s="27" t="n">
        <f aca="false">1/(1+EXP(-03_Inputs_Assumptions!$B$14*(E834-03_Inputs_Assumptions!$B$5)))</f>
        <v>0.00539309224943435</v>
      </c>
      <c r="G834" s="28" t="n">
        <f aca="false">D834*04_Baseline_PnL!$B$15*F834*04_Baseline_PnL!$B$14</f>
        <v>14474.3714369768</v>
      </c>
      <c r="H834" s="28" t="n">
        <f aca="false">D834*03_Inputs_Assumptions!$B$13*01_Macro_Data!$B$97*($G$8-1)+D834*04_Baseline_PnL!$B$15*04_Baseline_PnL!$B$13*03_Inputs_Assumptions!$B$15*($H$8-1)</f>
        <v>169361.142133756</v>
      </c>
      <c r="I834" s="16" t="n">
        <f aca="false">G834+H834</f>
        <v>183835.513570733</v>
      </c>
    </row>
    <row r="835" customFormat="false" ht="15" hidden="false" customHeight="true" outlineLevel="0" collapsed="false">
      <c r="A835" s="4" t="s">
        <v>304</v>
      </c>
      <c r="B835" s="4" t="n">
        <v>225</v>
      </c>
      <c r="C835" s="24" t="n">
        <f aca="true">RAND()</f>
        <v>0.898460348345955</v>
      </c>
      <c r="D835" s="25" t="n">
        <f aca="false">IF(C835&lt;(($C$8-$B$8)/($D$8-$B$8)),$B$8+SQRT(C835*($D$8-$B$8)*($C$8-$B$8)),$D$8-SQRT((1-C835)*($D$8-$B$8)*($D$8-$C$8)))</f>
        <v>13.1498820844878</v>
      </c>
      <c r="E835" s="26" t="n">
        <f aca="true">MAX(0,$E$8+$F$8*_xlfn.NORM.S.INV(RAND()))</f>
        <v>0.342445318200011</v>
      </c>
      <c r="F835" s="27" t="n">
        <f aca="false">1/(1+EXP(-03_Inputs_Assumptions!$B$14*(E835-03_Inputs_Assumptions!$B$5)))</f>
        <v>0.00568406320262652</v>
      </c>
      <c r="G835" s="28" t="n">
        <f aca="false">D835*04_Baseline_PnL!$B$15*F835*04_Baseline_PnL!$B$14</f>
        <v>21373.2338778712</v>
      </c>
      <c r="H835" s="28" t="n">
        <f aca="false">D835*03_Inputs_Assumptions!$B$13*01_Macro_Data!$B$97*($G$8-1)+D835*04_Baseline_PnL!$B$15*04_Baseline_PnL!$B$13*03_Inputs_Assumptions!$B$15*($H$8-1)</f>
        <v>237281.155941173</v>
      </c>
      <c r="I835" s="16" t="n">
        <f aca="false">G835+H835</f>
        <v>258654.389819044</v>
      </c>
    </row>
    <row r="836" customFormat="false" ht="15" hidden="false" customHeight="true" outlineLevel="0" collapsed="false">
      <c r="A836" s="4" t="s">
        <v>304</v>
      </c>
      <c r="B836" s="4" t="n">
        <v>226</v>
      </c>
      <c r="C836" s="24" t="n">
        <f aca="true">RAND()</f>
        <v>0.154567523928183</v>
      </c>
      <c r="D836" s="25" t="n">
        <f aca="false">IF(C836&lt;(($C$8-$B$8)/($D$8-$B$8)),$B$8+SQRT(C836*($D$8-$B$8)*($C$8-$B$8)),$D$8-SQRT((1-C836)*($D$8-$B$8)*($D$8-$C$8)))</f>
        <v>7.75822367136939</v>
      </c>
      <c r="E836" s="26" t="n">
        <f aca="true">MAX(0,$E$8+$F$8*_xlfn.NORM.S.INV(RAND()))</f>
        <v>0</v>
      </c>
      <c r="F836" s="27" t="n">
        <f aca="false">1/(1+EXP(-03_Inputs_Assumptions!$B$14*(E836-03_Inputs_Assumptions!$B$5)))</f>
        <v>0.0052201256935584</v>
      </c>
      <c r="G836" s="28" t="n">
        <f aca="false">D836*04_Baseline_PnL!$B$15*F836*04_Baseline_PnL!$B$14</f>
        <v>11580.6447109508</v>
      </c>
      <c r="H836" s="28" t="n">
        <f aca="false">D836*03_Inputs_Assumptions!$B$13*01_Macro_Data!$B$97*($G$8-1)+D836*04_Baseline_PnL!$B$15*04_Baseline_PnL!$B$13*03_Inputs_Assumptions!$B$15*($H$8-1)</f>
        <v>139992.151181666</v>
      </c>
      <c r="I836" s="16" t="n">
        <f aca="false">G836+H836</f>
        <v>151572.795892617</v>
      </c>
    </row>
    <row r="837" customFormat="false" ht="15" hidden="false" customHeight="true" outlineLevel="0" collapsed="false">
      <c r="A837" s="4" t="s">
        <v>304</v>
      </c>
      <c r="B837" s="4" t="n">
        <v>227</v>
      </c>
      <c r="C837" s="24" t="n">
        <f aca="true">RAND()</f>
        <v>0.624228214524233</v>
      </c>
      <c r="D837" s="25" t="n">
        <f aca="false">IF(C837&lt;(($C$8-$B$8)/($D$8-$B$8)),$B$8+SQRT(C837*($D$8-$B$8)*($C$8-$B$8)),$D$8-SQRT((1-C837)*($D$8-$B$8)*($D$8-$C$8)))</f>
        <v>10.5171409977949</v>
      </c>
      <c r="E837" s="26" t="n">
        <f aca="true">MAX(0,$E$8+$F$8*_xlfn.NORM.S.INV(RAND()))</f>
        <v>0</v>
      </c>
      <c r="F837" s="27" t="n">
        <f aca="false">1/(1+EXP(-03_Inputs_Assumptions!$B$14*(E837-03_Inputs_Assumptions!$B$5)))</f>
        <v>0.0052201256935584</v>
      </c>
      <c r="G837" s="28" t="n">
        <f aca="false">D837*04_Baseline_PnL!$B$15*F837*04_Baseline_PnL!$B$14</f>
        <v>15698.8607740075</v>
      </c>
      <c r="H837" s="28" t="n">
        <f aca="false">D837*03_Inputs_Assumptions!$B$13*01_Macro_Data!$B$97*($G$8-1)+D837*04_Baseline_PnL!$B$15*04_Baseline_PnL!$B$13*03_Inputs_Assumptions!$B$15*($H$8-1)</f>
        <v>189775.038066456</v>
      </c>
      <c r="I837" s="16" t="n">
        <f aca="false">G837+H837</f>
        <v>205473.898840463</v>
      </c>
    </row>
    <row r="838" customFormat="false" ht="15" hidden="false" customHeight="true" outlineLevel="0" collapsed="false">
      <c r="A838" s="4" t="s">
        <v>304</v>
      </c>
      <c r="B838" s="4" t="n">
        <v>228</v>
      </c>
      <c r="C838" s="24" t="n">
        <f aca="true">RAND()</f>
        <v>0.886108703229688</v>
      </c>
      <c r="D838" s="25" t="n">
        <f aca="false">IF(C838&lt;(($C$8-$B$8)/($D$8-$B$8)),$B$8+SQRT(C838*($D$8-$B$8)*($C$8-$B$8)),$D$8-SQRT((1-C838)*($D$8-$B$8)*($D$8-$C$8)))</f>
        <v>12.9815063787338</v>
      </c>
      <c r="E838" s="26" t="n">
        <f aca="true">MAX(0,$E$8+$F$8*_xlfn.NORM.S.INV(RAND()))</f>
        <v>0</v>
      </c>
      <c r="F838" s="27" t="n">
        <f aca="false">1/(1+EXP(-03_Inputs_Assumptions!$B$14*(E838-03_Inputs_Assumptions!$B$5)))</f>
        <v>0.0052201256935584</v>
      </c>
      <c r="G838" s="28" t="n">
        <f aca="false">D838*04_Baseline_PnL!$B$15*F838*04_Baseline_PnL!$B$14</f>
        <v>19377.401265169</v>
      </c>
      <c r="H838" s="28" t="n">
        <f aca="false">D838*03_Inputs_Assumptions!$B$13*01_Macro_Data!$B$97*($G$8-1)+D838*04_Baseline_PnL!$B$15*04_Baseline_PnL!$B$13*03_Inputs_Assumptions!$B$15*($H$8-1)</f>
        <v>234242.924735977</v>
      </c>
      <c r="I838" s="16" t="n">
        <f aca="false">G838+H838</f>
        <v>253620.326001146</v>
      </c>
    </row>
    <row r="839" customFormat="false" ht="15" hidden="false" customHeight="true" outlineLevel="0" collapsed="false">
      <c r="A839" s="4" t="s">
        <v>304</v>
      </c>
      <c r="B839" s="4" t="n">
        <v>229</v>
      </c>
      <c r="C839" s="24" t="n">
        <f aca="true">RAND()</f>
        <v>0.842843058139601</v>
      </c>
      <c r="D839" s="25" t="n">
        <f aca="false">IF(C839&lt;(($C$8-$B$8)/($D$8-$B$8)),$B$8+SQRT(C839*($D$8-$B$8)*($C$8-$B$8)),$D$8-SQRT((1-C839)*($D$8-$B$8)*($D$8-$C$8)))</f>
        <v>12.4542200648049</v>
      </c>
      <c r="E839" s="26" t="n">
        <f aca="true">MAX(0,$E$8+$F$8*_xlfn.NORM.S.INV(RAND()))</f>
        <v>0</v>
      </c>
      <c r="F839" s="27" t="n">
        <f aca="false">1/(1+EXP(-03_Inputs_Assumptions!$B$14*(E839-03_Inputs_Assumptions!$B$5)))</f>
        <v>0.0052201256935584</v>
      </c>
      <c r="G839" s="28" t="n">
        <f aca="false">D839*04_Baseline_PnL!$B$15*F839*04_Baseline_PnL!$B$14</f>
        <v>18590.3247743105</v>
      </c>
      <c r="H839" s="28" t="n">
        <f aca="false">D839*03_Inputs_Assumptions!$B$13*01_Macro_Data!$B$97*($G$8-1)+D839*04_Baseline_PnL!$B$15*04_Baseline_PnL!$B$13*03_Inputs_Assumptions!$B$15*($H$8-1)</f>
        <v>224728.382683271</v>
      </c>
      <c r="I839" s="16" t="n">
        <f aca="false">G839+H839</f>
        <v>243318.707457581</v>
      </c>
    </row>
    <row r="840" customFormat="false" ht="15" hidden="false" customHeight="true" outlineLevel="0" collapsed="false">
      <c r="A840" s="4" t="s">
        <v>304</v>
      </c>
      <c r="B840" s="4" t="n">
        <v>230</v>
      </c>
      <c r="C840" s="24" t="n">
        <f aca="true">RAND()</f>
        <v>0.270301081455321</v>
      </c>
      <c r="D840" s="25" t="n">
        <f aca="false">IF(C840&lt;(($C$8-$B$8)/($D$8-$B$8)),$B$8+SQRT(C840*($D$8-$B$8)*($C$8-$B$8)),$D$8-SQRT((1-C840)*($D$8-$B$8)*($D$8-$C$8)))</f>
        <v>8.35958682507455</v>
      </c>
      <c r="E840" s="26" t="n">
        <f aca="true">MAX(0,$E$8+$F$8*_xlfn.NORM.S.INV(RAND()))</f>
        <v>0.0207991999356704</v>
      </c>
      <c r="F840" s="27" t="n">
        <f aca="false">1/(1+EXP(-03_Inputs_Assumptions!$B$14*(E840-03_Inputs_Assumptions!$B$5)))</f>
        <v>0.00524719719739032</v>
      </c>
      <c r="G840" s="28" t="n">
        <f aca="false">D840*04_Baseline_PnL!$B$15*F840*04_Baseline_PnL!$B$14</f>
        <v>12543.0074442636</v>
      </c>
      <c r="H840" s="28" t="n">
        <f aca="false">D840*03_Inputs_Assumptions!$B$13*01_Macro_Data!$B$97*($G$8-1)+D840*04_Baseline_PnL!$B$15*04_Baseline_PnL!$B$13*03_Inputs_Assumptions!$B$15*($H$8-1)</f>
        <v>150843.36211533</v>
      </c>
      <c r="I840" s="16" t="n">
        <f aca="false">G840+H840</f>
        <v>163386.369559594</v>
      </c>
    </row>
    <row r="841" customFormat="false" ht="15" hidden="false" customHeight="true" outlineLevel="0" collapsed="false">
      <c r="A841" s="4" t="s">
        <v>304</v>
      </c>
      <c r="B841" s="4" t="n">
        <v>231</v>
      </c>
      <c r="C841" s="24" t="n">
        <f aca="true">RAND()</f>
        <v>0.0320908360249944</v>
      </c>
      <c r="D841" s="25" t="n">
        <f aca="false">IF(C841&lt;(($C$8-$B$8)/($D$8-$B$8)),$B$8+SQRT(C841*($D$8-$B$8)*($C$8-$B$8)),$D$8-SQRT((1-C841)*($D$8-$B$8)*($D$8-$C$8)))</f>
        <v>6.80113464567443</v>
      </c>
      <c r="E841" s="26" t="n">
        <f aca="true">MAX(0,$E$8+$F$8*_xlfn.NORM.S.INV(RAND()))</f>
        <v>0</v>
      </c>
      <c r="F841" s="27" t="n">
        <f aca="false">1/(1+EXP(-03_Inputs_Assumptions!$B$14*(E841-03_Inputs_Assumptions!$B$5)))</f>
        <v>0.0052201256935584</v>
      </c>
      <c r="G841" s="28" t="n">
        <f aca="false">D841*04_Baseline_PnL!$B$15*F841*04_Baseline_PnL!$B$14</f>
        <v>10152.0048015053</v>
      </c>
      <c r="H841" s="28" t="n">
        <f aca="false">D841*03_Inputs_Assumptions!$B$13*01_Macro_Data!$B$97*($G$8-1)+D841*04_Baseline_PnL!$B$15*04_Baseline_PnL!$B$13*03_Inputs_Assumptions!$B$15*($H$8-1)</f>
        <v>122722.095914523</v>
      </c>
      <c r="I841" s="16" t="n">
        <f aca="false">G841+H841</f>
        <v>132874.100716029</v>
      </c>
    </row>
    <row r="842" customFormat="false" ht="15" hidden="false" customHeight="true" outlineLevel="0" collapsed="false">
      <c r="A842" s="4" t="s">
        <v>304</v>
      </c>
      <c r="B842" s="4" t="n">
        <v>232</v>
      </c>
      <c r="C842" s="24" t="n">
        <f aca="true">RAND()</f>
        <v>0.49660105595004</v>
      </c>
      <c r="D842" s="25" t="n">
        <f aca="false">IF(C842&lt;(($C$8-$B$8)/($D$8-$B$8)),$B$8+SQRT(C842*($D$8-$B$8)*($C$8-$B$8)),$D$8-SQRT((1-C842)*($D$8-$B$8)*($D$8-$C$8)))</f>
        <v>9.65398427956589</v>
      </c>
      <c r="E842" s="26" t="n">
        <f aca="true">MAX(0,$E$8+$F$8*_xlfn.NORM.S.INV(RAND()))</f>
        <v>0.211796440947613</v>
      </c>
      <c r="F842" s="27" t="n">
        <f aca="false">1/(1+EXP(-03_Inputs_Assumptions!$B$14*(E842-03_Inputs_Assumptions!$B$5)))</f>
        <v>0.00550241332222462</v>
      </c>
      <c r="G842" s="28" t="n">
        <f aca="false">D842*04_Baseline_PnL!$B$15*F842*04_Baseline_PnL!$B$14</f>
        <v>15189.7028671446</v>
      </c>
      <c r="H842" s="28" t="n">
        <f aca="false">D842*03_Inputs_Assumptions!$B$13*01_Macro_Data!$B$97*($G$8-1)+D842*04_Baseline_PnL!$B$15*04_Baseline_PnL!$B$13*03_Inputs_Assumptions!$B$15*($H$8-1)</f>
        <v>174199.930811207</v>
      </c>
      <c r="I842" s="16" t="n">
        <f aca="false">G842+H842</f>
        <v>189389.633678352</v>
      </c>
    </row>
    <row r="843" customFormat="false" ht="15" hidden="false" customHeight="true" outlineLevel="0" collapsed="false">
      <c r="A843" s="4" t="s">
        <v>304</v>
      </c>
      <c r="B843" s="4" t="n">
        <v>233</v>
      </c>
      <c r="C843" s="24" t="n">
        <f aca="true">RAND()</f>
        <v>0.777463777383355</v>
      </c>
      <c r="D843" s="25" t="n">
        <f aca="false">IF(C843&lt;(($C$8-$B$8)/($D$8-$B$8)),$B$8+SQRT(C843*($D$8-$B$8)*($C$8-$B$8)),$D$8-SQRT((1-C843)*($D$8-$B$8)*($D$8-$C$8)))</f>
        <v>11.7806519686886</v>
      </c>
      <c r="E843" s="26" t="n">
        <f aca="true">MAX(0,$E$8+$F$8*_xlfn.NORM.S.INV(RAND()))</f>
        <v>0.206648747789695</v>
      </c>
      <c r="F843" s="27" t="n">
        <f aca="false">1/(1+EXP(-03_Inputs_Assumptions!$B$14*(E843-03_Inputs_Assumptions!$B$5)))</f>
        <v>0.00549537558162419</v>
      </c>
      <c r="G843" s="28" t="n">
        <f aca="false">D843*04_Baseline_PnL!$B$15*F843*04_Baseline_PnL!$B$14</f>
        <v>18512.1212813335</v>
      </c>
      <c r="H843" s="28" t="n">
        <f aca="false">D843*03_Inputs_Assumptions!$B$13*01_Macro_Data!$B$97*($G$8-1)+D843*04_Baseline_PnL!$B$15*04_Baseline_PnL!$B$13*03_Inputs_Assumptions!$B$15*($H$8-1)</f>
        <v>212574.280051421</v>
      </c>
      <c r="I843" s="16" t="n">
        <f aca="false">G843+H843</f>
        <v>231086.401332755</v>
      </c>
    </row>
    <row r="844" customFormat="false" ht="15" hidden="false" customHeight="true" outlineLevel="0" collapsed="false">
      <c r="A844" s="4" t="s">
        <v>304</v>
      </c>
      <c r="B844" s="4" t="n">
        <v>234</v>
      </c>
      <c r="C844" s="24" t="n">
        <f aca="true">RAND()</f>
        <v>0.60464412595075</v>
      </c>
      <c r="D844" s="25" t="n">
        <f aca="false">IF(C844&lt;(($C$8-$B$8)/($D$8-$B$8)),$B$8+SQRT(C844*($D$8-$B$8)*($C$8-$B$8)),$D$8-SQRT((1-C844)*($D$8-$B$8)*($D$8-$C$8)))</f>
        <v>10.3760805549919</v>
      </c>
      <c r="E844" s="26" t="n">
        <f aca="true">MAX(0,$E$8+$F$8*_xlfn.NORM.S.INV(RAND()))</f>
        <v>0</v>
      </c>
      <c r="F844" s="27" t="n">
        <f aca="false">1/(1+EXP(-03_Inputs_Assumptions!$B$14*(E844-03_Inputs_Assumptions!$B$5)))</f>
        <v>0.0052201256935584</v>
      </c>
      <c r="G844" s="28" t="n">
        <f aca="false">D844*04_Baseline_PnL!$B$15*F844*04_Baseline_PnL!$B$14</f>
        <v>15488.3008649269</v>
      </c>
      <c r="H844" s="28" t="n">
        <f aca="false">D844*03_Inputs_Assumptions!$B$13*01_Macro_Data!$B$97*($G$8-1)+D844*04_Baseline_PnL!$B$15*04_Baseline_PnL!$B$13*03_Inputs_Assumptions!$B$15*($H$8-1)</f>
        <v>187229.693194858</v>
      </c>
      <c r="I844" s="16" t="n">
        <f aca="false">G844+H844</f>
        <v>202717.994059785</v>
      </c>
    </row>
    <row r="845" customFormat="false" ht="15" hidden="false" customHeight="true" outlineLevel="0" collapsed="false">
      <c r="A845" s="4" t="s">
        <v>304</v>
      </c>
      <c r="B845" s="4" t="n">
        <v>235</v>
      </c>
      <c r="C845" s="24" t="n">
        <f aca="true">RAND()</f>
        <v>0.311806601807417</v>
      </c>
      <c r="D845" s="25" t="n">
        <f aca="false">IF(C845&lt;(($C$8-$B$8)/($D$8-$B$8)),$B$8+SQRT(C845*($D$8-$B$8)*($C$8-$B$8)),$D$8-SQRT((1-C845)*($D$8-$B$8)*($D$8-$C$8)))</f>
        <v>8.5800625436998</v>
      </c>
      <c r="E845" s="26" t="n">
        <f aca="true">MAX(0,$E$8+$F$8*_xlfn.NORM.S.INV(RAND()))</f>
        <v>0.298992677483466</v>
      </c>
      <c r="F845" s="27" t="n">
        <f aca="false">1/(1+EXP(-03_Inputs_Assumptions!$B$14*(E845-03_Inputs_Assumptions!$B$5)))</f>
        <v>0.00562299580906218</v>
      </c>
      <c r="G845" s="28" t="n">
        <f aca="false">D845*04_Baseline_PnL!$B$15*F845*04_Baseline_PnL!$B$14</f>
        <v>13795.8255711826</v>
      </c>
      <c r="H845" s="28" t="n">
        <f aca="false">D845*03_Inputs_Assumptions!$B$13*01_Macro_Data!$B$97*($G$8-1)+D845*04_Baseline_PnL!$B$15*04_Baseline_PnL!$B$13*03_Inputs_Assumptions!$B$15*($H$8-1)</f>
        <v>154821.704509295</v>
      </c>
      <c r="I845" s="16" t="n">
        <f aca="false">G845+H845</f>
        <v>168617.530080478</v>
      </c>
    </row>
    <row r="846" customFormat="false" ht="15" hidden="false" customHeight="true" outlineLevel="0" collapsed="false">
      <c r="A846" s="4" t="s">
        <v>304</v>
      </c>
      <c r="B846" s="4" t="n">
        <v>236</v>
      </c>
      <c r="C846" s="24" t="n">
        <f aca="true">RAND()</f>
        <v>0.0324313588595491</v>
      </c>
      <c r="D846" s="25" t="n">
        <f aca="false">IF(C846&lt;(($C$8-$B$8)/($D$8-$B$8)),$B$8+SQRT(C846*($D$8-$B$8)*($C$8-$B$8)),$D$8-SQRT((1-C846)*($D$8-$B$8)*($D$8-$C$8)))</f>
        <v>6.8053739362501</v>
      </c>
      <c r="E846" s="26" t="n">
        <f aca="true">MAX(0,$E$8+$F$8*_xlfn.NORM.S.INV(RAND()))</f>
        <v>0</v>
      </c>
      <c r="F846" s="27" t="n">
        <f aca="false">1/(1+EXP(-03_Inputs_Assumptions!$B$14*(E846-03_Inputs_Assumptions!$B$5)))</f>
        <v>0.0052201256935584</v>
      </c>
      <c r="G846" s="28" t="n">
        <f aca="false">D846*04_Baseline_PnL!$B$15*F846*04_Baseline_PnL!$B$14</f>
        <v>10158.3327600771</v>
      </c>
      <c r="H846" s="28" t="n">
        <f aca="false">D846*03_Inputs_Assumptions!$B$13*01_Macro_Data!$B$97*($G$8-1)+D846*04_Baseline_PnL!$B$15*04_Baseline_PnL!$B$13*03_Inputs_Assumptions!$B$15*($H$8-1)</f>
        <v>122798.591183584</v>
      </c>
      <c r="I846" s="16" t="n">
        <f aca="false">G846+H846</f>
        <v>132956.923943661</v>
      </c>
    </row>
    <row r="847" customFormat="false" ht="15" hidden="false" customHeight="true" outlineLevel="0" collapsed="false">
      <c r="A847" s="4" t="s">
        <v>304</v>
      </c>
      <c r="B847" s="4" t="n">
        <v>237</v>
      </c>
      <c r="C847" s="24" t="n">
        <f aca="true">RAND()</f>
        <v>0.404289794395977</v>
      </c>
      <c r="D847" s="25" t="n">
        <f aca="false">IF(C847&lt;(($C$8-$B$8)/($D$8-$B$8)),$B$8+SQRT(C847*($D$8-$B$8)*($C$8-$B$8)),$D$8-SQRT((1-C847)*($D$8-$B$8)*($D$8-$C$8)))</f>
        <v>9.09660833732274</v>
      </c>
      <c r="E847" s="26" t="n">
        <f aca="true">MAX(0,$E$8+$F$8*_xlfn.NORM.S.INV(RAND()))</f>
        <v>0</v>
      </c>
      <c r="F847" s="27" t="n">
        <f aca="false">1/(1+EXP(-03_Inputs_Assumptions!$B$14*(E847-03_Inputs_Assumptions!$B$5)))</f>
        <v>0.0052201256935584</v>
      </c>
      <c r="G847" s="28" t="n">
        <f aca="false">D847*04_Baseline_PnL!$B$15*F847*04_Baseline_PnL!$B$14</f>
        <v>13578.4418819951</v>
      </c>
      <c r="H847" s="28" t="n">
        <f aca="false">D847*03_Inputs_Assumptions!$B$13*01_Macro_Data!$B$97*($G$8-1)+D847*04_Baseline_PnL!$B$15*04_Baseline_PnL!$B$13*03_Inputs_Assumptions!$B$15*($H$8-1)</f>
        <v>164142.440788139</v>
      </c>
      <c r="I847" s="16" t="n">
        <f aca="false">G847+H847</f>
        <v>177720.882670134</v>
      </c>
    </row>
    <row r="848" customFormat="false" ht="15" hidden="false" customHeight="true" outlineLevel="0" collapsed="false">
      <c r="A848" s="4" t="s">
        <v>304</v>
      </c>
      <c r="B848" s="4" t="n">
        <v>238</v>
      </c>
      <c r="C848" s="24" t="n">
        <f aca="true">RAND()</f>
        <v>0.246054853224426</v>
      </c>
      <c r="D848" s="25" t="n">
        <f aca="false">IF(C848&lt;(($C$8-$B$8)/($D$8-$B$8)),$B$8+SQRT(C848*($D$8-$B$8)*($C$8-$B$8)),$D$8-SQRT((1-C848)*($D$8-$B$8)*($D$8-$C$8)))</f>
        <v>8.23368737803802</v>
      </c>
      <c r="E848" s="26" t="n">
        <f aca="true">MAX(0,$E$8+$F$8*_xlfn.NORM.S.INV(RAND()))</f>
        <v>0.34142782092687</v>
      </c>
      <c r="F848" s="27" t="n">
        <f aca="false">1/(1+EXP(-03_Inputs_Assumptions!$B$14*(E848-03_Inputs_Assumptions!$B$5)))</f>
        <v>0.00568262572215426</v>
      </c>
      <c r="G848" s="28" t="n">
        <f aca="false">D848*04_Baseline_PnL!$B$15*F848*04_Baseline_PnL!$B$14</f>
        <v>13379.2850760466</v>
      </c>
      <c r="H848" s="28" t="n">
        <f aca="false">D848*03_Inputs_Assumptions!$B$13*01_Macro_Data!$B$97*($G$8-1)+D848*04_Baseline_PnL!$B$15*04_Baseline_PnL!$B$13*03_Inputs_Assumptions!$B$15*($H$8-1)</f>
        <v>148571.587651252</v>
      </c>
      <c r="I848" s="16" t="n">
        <f aca="false">G848+H848</f>
        <v>161950.872727298</v>
      </c>
    </row>
    <row r="849" customFormat="false" ht="15" hidden="false" customHeight="true" outlineLevel="0" collapsed="false">
      <c r="A849" s="4" t="s">
        <v>304</v>
      </c>
      <c r="B849" s="4" t="n">
        <v>239</v>
      </c>
      <c r="C849" s="24" t="n">
        <f aca="true">RAND()</f>
        <v>0.782548953275098</v>
      </c>
      <c r="D849" s="25" t="n">
        <f aca="false">IF(C849&lt;(($C$8-$B$8)/($D$8-$B$8)),$B$8+SQRT(C849*($D$8-$B$8)*($C$8-$B$8)),$D$8-SQRT((1-C849)*($D$8-$B$8)*($D$8-$C$8)))</f>
        <v>11.8291387294718</v>
      </c>
      <c r="E849" s="26" t="n">
        <f aca="true">MAX(0,$E$8+$F$8*_xlfn.NORM.S.INV(RAND()))</f>
        <v>0</v>
      </c>
      <c r="F849" s="27" t="n">
        <f aca="false">1/(1+EXP(-03_Inputs_Assumptions!$B$14*(E849-03_Inputs_Assumptions!$B$5)))</f>
        <v>0.0052201256935584</v>
      </c>
      <c r="G849" s="28" t="n">
        <f aca="false">D849*04_Baseline_PnL!$B$15*F849*04_Baseline_PnL!$B$14</f>
        <v>17657.270357917</v>
      </c>
      <c r="H849" s="28" t="n">
        <f aca="false">D849*03_Inputs_Assumptions!$B$13*01_Macro_Data!$B$97*($G$8-1)+D849*04_Baseline_PnL!$B$15*04_Baseline_PnL!$B$13*03_Inputs_Assumptions!$B$15*($H$8-1)</f>
        <v>213449.192432579</v>
      </c>
      <c r="I849" s="16" t="n">
        <f aca="false">G849+H849</f>
        <v>231106.462790496</v>
      </c>
    </row>
    <row r="850" customFormat="false" ht="15" hidden="false" customHeight="true" outlineLevel="0" collapsed="false">
      <c r="A850" s="4" t="s">
        <v>304</v>
      </c>
      <c r="B850" s="4" t="n">
        <v>240</v>
      </c>
      <c r="C850" s="24" t="n">
        <f aca="true">RAND()</f>
        <v>0.382196583677674</v>
      </c>
      <c r="D850" s="25" t="n">
        <f aca="false">IF(C850&lt;(($C$8-$B$8)/($D$8-$B$8)),$B$8+SQRT(C850*($D$8-$B$8)*($C$8-$B$8)),$D$8-SQRT((1-C850)*($D$8-$B$8)*($D$8-$C$8)))</f>
        <v>8.96976008191854</v>
      </c>
      <c r="E850" s="26" t="n">
        <f aca="true">MAX(0,$E$8+$F$8*_xlfn.NORM.S.INV(RAND()))</f>
        <v>0</v>
      </c>
      <c r="F850" s="27" t="n">
        <f aca="false">1/(1+EXP(-03_Inputs_Assumptions!$B$14*(E850-03_Inputs_Assumptions!$B$5)))</f>
        <v>0.0052201256935584</v>
      </c>
      <c r="G850" s="28" t="n">
        <f aca="false">D850*04_Baseline_PnL!$B$15*F850*04_Baseline_PnL!$B$14</f>
        <v>13389.0964028925</v>
      </c>
      <c r="H850" s="28" t="n">
        <f aca="false">D850*03_Inputs_Assumptions!$B$13*01_Macro_Data!$B$97*($G$8-1)+D850*04_Baseline_PnL!$B$15*04_Baseline_PnL!$B$13*03_Inputs_Assumptions!$B$15*($H$8-1)</f>
        <v>161853.545687936</v>
      </c>
      <c r="I850" s="16" t="n">
        <f aca="false">G850+H850</f>
        <v>175242.642090829</v>
      </c>
    </row>
    <row r="851" customFormat="false" ht="15" hidden="false" customHeight="true" outlineLevel="0" collapsed="false">
      <c r="A851" s="4" t="s">
        <v>304</v>
      </c>
      <c r="B851" s="4" t="n">
        <v>241</v>
      </c>
      <c r="C851" s="24" t="n">
        <f aca="true">RAND()</f>
        <v>0.234692434386572</v>
      </c>
      <c r="D851" s="25" t="n">
        <f aca="false">IF(C851&lt;(($C$8-$B$8)/($D$8-$B$8)),$B$8+SQRT(C851*($D$8-$B$8)*($C$8-$B$8)),$D$8-SQRT((1-C851)*($D$8-$B$8)*($D$8-$C$8)))</f>
        <v>8.17538465807589</v>
      </c>
      <c r="E851" s="26" t="n">
        <f aca="true">MAX(0,$E$8+$F$8*_xlfn.NORM.S.INV(RAND()))</f>
        <v>0</v>
      </c>
      <c r="F851" s="27" t="n">
        <f aca="false">1/(1+EXP(-03_Inputs_Assumptions!$B$14*(E851-03_Inputs_Assumptions!$B$5)))</f>
        <v>0.0052201256935584</v>
      </c>
      <c r="G851" s="28" t="n">
        <f aca="false">D851*04_Baseline_PnL!$B$15*F851*04_Baseline_PnL!$B$14</f>
        <v>12203.3379174055</v>
      </c>
      <c r="H851" s="28" t="n">
        <f aca="false">D851*03_Inputs_Assumptions!$B$13*01_Macro_Data!$B$97*($G$8-1)+D851*04_Baseline_PnL!$B$15*04_Baseline_PnL!$B$13*03_Inputs_Assumptions!$B$15*($H$8-1)</f>
        <v>147519.552606508</v>
      </c>
      <c r="I851" s="16" t="n">
        <f aca="false">G851+H851</f>
        <v>159722.890523914</v>
      </c>
    </row>
    <row r="852" customFormat="false" ht="15" hidden="false" customHeight="true" outlineLevel="0" collapsed="false">
      <c r="A852" s="4" t="s">
        <v>304</v>
      </c>
      <c r="B852" s="4" t="n">
        <v>242</v>
      </c>
      <c r="C852" s="24" t="n">
        <f aca="true">RAND()</f>
        <v>0.411591746213981</v>
      </c>
      <c r="D852" s="25" t="n">
        <f aca="false">IF(C852&lt;(($C$8-$B$8)/($D$8-$B$8)),$B$8+SQRT(C852*($D$8-$B$8)*($C$8-$B$8)),$D$8-SQRT((1-C852)*($D$8-$B$8)*($D$8-$C$8)))</f>
        <v>9.13904814891683</v>
      </c>
      <c r="E852" s="26" t="n">
        <f aca="true">MAX(0,$E$8+$F$8*_xlfn.NORM.S.INV(RAND()))</f>
        <v>0.259303907287019</v>
      </c>
      <c r="F852" s="27" t="n">
        <f aca="false">1/(1+EXP(-03_Inputs_Assumptions!$B$14*(E852-03_Inputs_Assumptions!$B$5)))</f>
        <v>0.0055677883449532</v>
      </c>
      <c r="G852" s="28" t="n">
        <f aca="false">D852*04_Baseline_PnL!$B$15*F852*04_Baseline_PnL!$B$14</f>
        <v>14550.3407554081</v>
      </c>
      <c r="H852" s="28" t="n">
        <f aca="false">D852*03_Inputs_Assumptions!$B$13*01_Macro_Data!$B$97*($G$8-1)+D852*04_Baseline_PnL!$B$15*04_Baseline_PnL!$B$13*03_Inputs_Assumptions!$B$15*($H$8-1)</f>
        <v>164908.23986438</v>
      </c>
      <c r="I852" s="16" t="n">
        <f aca="false">G852+H852</f>
        <v>179458.580619788</v>
      </c>
    </row>
    <row r="853" customFormat="false" ht="15" hidden="false" customHeight="true" outlineLevel="0" collapsed="false">
      <c r="A853" s="4" t="s">
        <v>304</v>
      </c>
      <c r="B853" s="4" t="n">
        <v>243</v>
      </c>
      <c r="C853" s="24" t="n">
        <f aca="true">RAND()</f>
        <v>0.644104267895863</v>
      </c>
      <c r="D853" s="25" t="n">
        <f aca="false">IF(C853&lt;(($C$8-$B$8)/($D$8-$B$8)),$B$8+SQRT(C853*($D$8-$B$8)*($C$8-$B$8)),$D$8-SQRT((1-C853)*($D$8-$B$8)*($D$8-$C$8)))</f>
        <v>10.6641159525032</v>
      </c>
      <c r="E853" s="26" t="n">
        <f aca="true">MAX(0,$E$8+$F$8*_xlfn.NORM.S.INV(RAND()))</f>
        <v>0</v>
      </c>
      <c r="F853" s="27" t="n">
        <f aca="false">1/(1+EXP(-03_Inputs_Assumptions!$B$14*(E853-03_Inputs_Assumptions!$B$5)))</f>
        <v>0.0052201256935584</v>
      </c>
      <c r="G853" s="28" t="n">
        <f aca="false">D853*04_Baseline_PnL!$B$15*F853*04_Baseline_PnL!$B$14</f>
        <v>15918.2492324978</v>
      </c>
      <c r="H853" s="28" t="n">
        <f aca="false">D853*03_Inputs_Assumptions!$B$13*01_Macro_Data!$B$97*($G$8-1)+D853*04_Baseline_PnL!$B$15*04_Baseline_PnL!$B$13*03_Inputs_Assumptions!$B$15*($H$8-1)</f>
        <v>192427.106497451</v>
      </c>
      <c r="I853" s="16" t="n">
        <f aca="false">G853+H853</f>
        <v>208345.355729949</v>
      </c>
    </row>
    <row r="854" customFormat="false" ht="15" hidden="false" customHeight="true" outlineLevel="0" collapsed="false">
      <c r="A854" s="4" t="s">
        <v>304</v>
      </c>
      <c r="B854" s="4" t="n">
        <v>244</v>
      </c>
      <c r="C854" s="24" t="n">
        <f aca="true">RAND()</f>
        <v>0.713459589844639</v>
      </c>
      <c r="D854" s="25" t="n">
        <f aca="false">IF(C854&lt;(($C$8-$B$8)/($D$8-$B$8)),$B$8+SQRT(C854*($D$8-$B$8)*($C$8-$B$8)),$D$8-SQRT((1-C854)*($D$8-$B$8)*($D$8-$C$8)))</f>
        <v>11.2121786987787</v>
      </c>
      <c r="E854" s="26" t="n">
        <f aca="true">MAX(0,$E$8+$F$8*_xlfn.NORM.S.INV(RAND()))</f>
        <v>0.0710297987145112</v>
      </c>
      <c r="F854" s="27" t="n">
        <f aca="false">1/(1+EXP(-03_Inputs_Assumptions!$B$14*(E854-03_Inputs_Assumptions!$B$5)))</f>
        <v>0.00531315282202173</v>
      </c>
      <c r="G854" s="28" t="n">
        <f aca="false">D854*04_Baseline_PnL!$B$15*F854*04_Baseline_PnL!$B$14</f>
        <v>17034.5944986235</v>
      </c>
      <c r="H854" s="28" t="n">
        <f aca="false">D854*03_Inputs_Assumptions!$B$13*01_Macro_Data!$B$97*($G$8-1)+D854*04_Baseline_PnL!$B$15*04_Baseline_PnL!$B$13*03_Inputs_Assumptions!$B$15*($H$8-1)</f>
        <v>202316.545895386</v>
      </c>
      <c r="I854" s="16" t="n">
        <f aca="false">G854+H854</f>
        <v>219351.14039401</v>
      </c>
    </row>
    <row r="855" customFormat="false" ht="15" hidden="false" customHeight="true" outlineLevel="0" collapsed="false">
      <c r="A855" s="4" t="s">
        <v>304</v>
      </c>
      <c r="B855" s="4" t="n">
        <v>245</v>
      </c>
      <c r="C855" s="24" t="n">
        <f aca="true">RAND()</f>
        <v>0.847575208788967</v>
      </c>
      <c r="D855" s="25" t="n">
        <f aca="false">IF(C855&lt;(($C$8-$B$8)/($D$8-$B$8)),$B$8+SQRT(C855*($D$8-$B$8)*($C$8-$B$8)),$D$8-SQRT((1-C855)*($D$8-$B$8)*($D$8-$C$8)))</f>
        <v>12.5080115554483</v>
      </c>
      <c r="E855" s="26" t="n">
        <f aca="true">MAX(0,$E$8+$F$8*_xlfn.NORM.S.INV(RAND()))</f>
        <v>1.14705580508991</v>
      </c>
      <c r="F855" s="27" t="n">
        <f aca="false">1/(1+EXP(-03_Inputs_Assumptions!$B$14*(E855-03_Inputs_Assumptions!$B$5)))</f>
        <v>0.00694174565779409</v>
      </c>
      <c r="G855" s="28" t="n">
        <f aca="false">D855*04_Baseline_PnL!$B$15*F855*04_Baseline_PnL!$B$14</f>
        <v>24828.2695864953</v>
      </c>
      <c r="H855" s="28" t="n">
        <f aca="false">D855*03_Inputs_Assumptions!$B$13*01_Macro_Data!$B$97*($G$8-1)+D855*04_Baseline_PnL!$B$15*04_Baseline_PnL!$B$13*03_Inputs_Assumptions!$B$15*($H$8-1)</f>
        <v>225699.015499417</v>
      </c>
      <c r="I855" s="16" t="n">
        <f aca="false">G855+H855</f>
        <v>250527.285085912</v>
      </c>
    </row>
    <row r="856" customFormat="false" ht="15" hidden="false" customHeight="true" outlineLevel="0" collapsed="false">
      <c r="A856" s="4" t="s">
        <v>304</v>
      </c>
      <c r="B856" s="4" t="n">
        <v>246</v>
      </c>
      <c r="C856" s="24" t="n">
        <f aca="true">RAND()</f>
        <v>0.0551452660754286</v>
      </c>
      <c r="D856" s="25" t="n">
        <f aca="false">IF(C856&lt;(($C$8-$B$8)/($D$8-$B$8)),$B$8+SQRT(C856*($D$8-$B$8)*($C$8-$B$8)),$D$8-SQRT((1-C856)*($D$8-$B$8)*($D$8-$C$8)))</f>
        <v>7.05019299250594</v>
      </c>
      <c r="E856" s="26" t="n">
        <f aca="true">MAX(0,$E$8+$F$8*_xlfn.NORM.S.INV(RAND()))</f>
        <v>0.0750506607482926</v>
      </c>
      <c r="F856" s="27" t="n">
        <f aca="false">1/(1+EXP(-03_Inputs_Assumptions!$B$14*(E856-03_Inputs_Assumptions!$B$5)))</f>
        <v>0.00531846795140287</v>
      </c>
      <c r="G856" s="28" t="n">
        <f aca="false">D856*04_Baseline_PnL!$B$15*F856*04_Baseline_PnL!$B$14</f>
        <v>10722.0303787955</v>
      </c>
      <c r="H856" s="28" t="n">
        <f aca="false">D856*03_Inputs_Assumptions!$B$13*01_Macro_Data!$B$97*($G$8-1)+D856*04_Baseline_PnL!$B$15*04_Baseline_PnL!$B$13*03_Inputs_Assumptions!$B$15*($H$8-1)</f>
        <v>127216.19343215</v>
      </c>
      <c r="I856" s="16" t="n">
        <f aca="false">G856+H856</f>
        <v>137938.223810946</v>
      </c>
    </row>
    <row r="857" customFormat="false" ht="15" hidden="false" customHeight="true" outlineLevel="0" collapsed="false">
      <c r="A857" s="4" t="s">
        <v>304</v>
      </c>
      <c r="B857" s="4" t="n">
        <v>247</v>
      </c>
      <c r="C857" s="24" t="n">
        <f aca="true">RAND()</f>
        <v>0.739424035413664</v>
      </c>
      <c r="D857" s="25" t="n">
        <f aca="false">IF(C857&lt;(($C$8-$B$8)/($D$8-$B$8)),$B$8+SQRT(C857*($D$8-$B$8)*($C$8-$B$8)),$D$8-SQRT((1-C857)*($D$8-$B$8)*($D$8-$C$8)))</f>
        <v>11.4342495505222</v>
      </c>
      <c r="E857" s="26" t="n">
        <f aca="true">MAX(0,$E$8+$F$8*_xlfn.NORM.S.INV(RAND()))</f>
        <v>0</v>
      </c>
      <c r="F857" s="27" t="n">
        <f aca="false">1/(1+EXP(-03_Inputs_Assumptions!$B$14*(E857-03_Inputs_Assumptions!$B$5)))</f>
        <v>0.0052201256935584</v>
      </c>
      <c r="G857" s="28" t="n">
        <f aca="false">D857*04_Baseline_PnL!$B$15*F857*04_Baseline_PnL!$B$14</f>
        <v>17067.8221188194</v>
      </c>
      <c r="H857" s="28" t="n">
        <f aca="false">D857*03_Inputs_Assumptions!$B$13*01_Macro_Data!$B$97*($G$8-1)+D857*04_Baseline_PnL!$B$15*04_Baseline_PnL!$B$13*03_Inputs_Assumptions!$B$15*($H$8-1)</f>
        <v>206323.671439478</v>
      </c>
      <c r="I857" s="16" t="n">
        <f aca="false">G857+H857</f>
        <v>223391.493558297</v>
      </c>
    </row>
    <row r="858" customFormat="false" ht="15" hidden="false" customHeight="true" outlineLevel="0" collapsed="false">
      <c r="A858" s="4" t="s">
        <v>304</v>
      </c>
      <c r="B858" s="4" t="n">
        <v>248</v>
      </c>
      <c r="C858" s="24" t="n">
        <f aca="true">RAND()</f>
        <v>0.303704792704172</v>
      </c>
      <c r="D858" s="25" t="n">
        <f aca="false">IF(C858&lt;(($C$8-$B$8)/($D$8-$B$8)),$B$8+SQRT(C858*($D$8-$B$8)*($C$8-$B$8)),$D$8-SQRT((1-C858)*($D$8-$B$8)*($D$8-$C$8)))</f>
        <v>8.53651444808351</v>
      </c>
      <c r="E858" s="26" t="n">
        <f aca="true">MAX(0,$E$8+$F$8*_xlfn.NORM.S.INV(RAND()))</f>
        <v>0.507419231663681</v>
      </c>
      <c r="F858" s="27" t="n">
        <f aca="false">1/(1+EXP(-03_Inputs_Assumptions!$B$14*(E858-03_Inputs_Assumptions!$B$5)))</f>
        <v>0.00592197793959145</v>
      </c>
      <c r="G858" s="28" t="n">
        <f aca="false">D858*04_Baseline_PnL!$B$15*F858*04_Baseline_PnL!$B$14</f>
        <v>14455.6240921861</v>
      </c>
      <c r="H858" s="28" t="n">
        <f aca="false">D858*03_Inputs_Assumptions!$B$13*01_Macro_Data!$B$97*($G$8-1)+D858*04_Baseline_PnL!$B$15*04_Baseline_PnL!$B$13*03_Inputs_Assumptions!$B$15*($H$8-1)</f>
        <v>154035.907161419</v>
      </c>
      <c r="I858" s="16" t="n">
        <f aca="false">G858+H858</f>
        <v>168491.531253606</v>
      </c>
    </row>
    <row r="859" customFormat="false" ht="15" hidden="false" customHeight="true" outlineLevel="0" collapsed="false">
      <c r="A859" s="4" t="s">
        <v>304</v>
      </c>
      <c r="B859" s="4" t="n">
        <v>249</v>
      </c>
      <c r="C859" s="24" t="n">
        <f aca="true">RAND()</f>
        <v>0.992522887815801</v>
      </c>
      <c r="D859" s="25" t="n">
        <f aca="false">IF(C859&lt;(($C$8-$B$8)/($D$8-$B$8)),$B$8+SQRT(C859*($D$8-$B$8)*($C$8-$B$8)),$D$8-SQRT((1-C859)*($D$8-$B$8)*($D$8-$C$8)))</f>
        <v>15.226586155583</v>
      </c>
      <c r="E859" s="26" t="n">
        <f aca="true">MAX(0,$E$8+$F$8*_xlfn.NORM.S.INV(RAND()))</f>
        <v>0.438002338787999</v>
      </c>
      <c r="F859" s="27" t="n">
        <f aca="false">1/(1+EXP(-03_Inputs_Assumptions!$B$14*(E859-03_Inputs_Assumptions!$B$5)))</f>
        <v>0.00582068627342237</v>
      </c>
      <c r="G859" s="28" t="n">
        <f aca="false">D859*04_Baseline_PnL!$B$15*F859*04_Baseline_PnL!$B$14</f>
        <v>25343.4781556363</v>
      </c>
      <c r="H859" s="28" t="n">
        <f aca="false">D859*03_Inputs_Assumptions!$B$13*01_Macro_Data!$B$97*($G$8-1)+D859*04_Baseline_PnL!$B$15*04_Baseline_PnL!$B$13*03_Inputs_Assumptions!$B$15*($H$8-1)</f>
        <v>274753.9438621</v>
      </c>
      <c r="I859" s="16" t="n">
        <f aca="false">G859+H859</f>
        <v>300097.422017736</v>
      </c>
    </row>
    <row r="860" customFormat="false" ht="15" hidden="false" customHeight="true" outlineLevel="0" collapsed="false">
      <c r="A860" s="4" t="s">
        <v>304</v>
      </c>
      <c r="B860" s="4" t="n">
        <v>250</v>
      </c>
      <c r="C860" s="24" t="n">
        <f aca="true">RAND()</f>
        <v>0.172400371980911</v>
      </c>
      <c r="D860" s="25" t="n">
        <f aca="false">IF(C860&lt;(($C$8-$B$8)/($D$8-$B$8)),$B$8+SQRT(C860*($D$8-$B$8)*($C$8-$B$8)),$D$8-SQRT((1-C860)*($D$8-$B$8)*($D$8-$C$8)))</f>
        <v>7.85688110540719</v>
      </c>
      <c r="E860" s="26" t="n">
        <f aca="true">MAX(0,$E$8+$F$8*_xlfn.NORM.S.INV(RAND()))</f>
        <v>0.378286333879686</v>
      </c>
      <c r="F860" s="27" t="n">
        <f aca="false">1/(1+EXP(-03_Inputs_Assumptions!$B$14*(E860-03_Inputs_Assumptions!$B$5)))</f>
        <v>0.00573492931486442</v>
      </c>
      <c r="G860" s="28" t="n">
        <f aca="false">D860*04_Baseline_PnL!$B$15*F860*04_Baseline_PnL!$B$14</f>
        <v>12884.5048076394</v>
      </c>
      <c r="H860" s="28" t="n">
        <f aca="false">D860*03_Inputs_Assumptions!$B$13*01_Macro_Data!$B$97*($G$8-1)+D860*04_Baseline_PnL!$B$15*04_Baseline_PnL!$B$13*03_Inputs_Assumptions!$B$15*($H$8-1)</f>
        <v>141772.361060376</v>
      </c>
      <c r="I860" s="16" t="n">
        <f aca="false">G860+H860</f>
        <v>154656.865868016</v>
      </c>
    </row>
    <row r="861" customFormat="false" ht="15" hidden="false" customHeight="true" outlineLevel="0" collapsed="false">
      <c r="A861" s="4" t="s">
        <v>304</v>
      </c>
      <c r="B861" s="4" t="n">
        <v>251</v>
      </c>
      <c r="C861" s="24" t="n">
        <f aca="true">RAND()</f>
        <v>0.276025911819171</v>
      </c>
      <c r="D861" s="25" t="n">
        <f aca="false">IF(C861&lt;(($C$8-$B$8)/($D$8-$B$8)),$B$8+SQRT(C861*($D$8-$B$8)*($C$8-$B$8)),$D$8-SQRT((1-C861)*($D$8-$B$8)*($D$8-$C$8)))</f>
        <v>8.38961715454036</v>
      </c>
      <c r="E861" s="26" t="n">
        <f aca="true">MAX(0,$E$8+$F$8*_xlfn.NORM.S.INV(RAND()))</f>
        <v>0.115291417023963</v>
      </c>
      <c r="F861" s="27" t="n">
        <f aca="false">1/(1+EXP(-03_Inputs_Assumptions!$B$14*(E861-03_Inputs_Assumptions!$B$5)))</f>
        <v>0.00537195390758707</v>
      </c>
      <c r="G861" s="28" t="n">
        <f aca="false">D861*04_Baseline_PnL!$B$15*F861*04_Baseline_PnL!$B$14</f>
        <v>12887.358264787</v>
      </c>
      <c r="H861" s="28" t="n">
        <f aca="false">D861*03_Inputs_Assumptions!$B$13*01_Macro_Data!$B$97*($G$8-1)+D861*04_Baseline_PnL!$B$15*04_Baseline_PnL!$B$13*03_Inputs_Assumptions!$B$15*($H$8-1)</f>
        <v>151385.240076149</v>
      </c>
      <c r="I861" s="16" t="n">
        <f aca="false">G861+H861</f>
        <v>164272.598340936</v>
      </c>
    </row>
    <row r="862" customFormat="false" ht="15" hidden="false" customHeight="true" outlineLevel="0" collapsed="false">
      <c r="A862" s="4" t="s">
        <v>304</v>
      </c>
      <c r="B862" s="4" t="n">
        <v>252</v>
      </c>
      <c r="C862" s="24" t="n">
        <f aca="true">RAND()</f>
        <v>0.528744132492571</v>
      </c>
      <c r="D862" s="25" t="n">
        <f aca="false">IF(C862&lt;(($C$8-$B$8)/($D$8-$B$8)),$B$8+SQRT(C862*($D$8-$B$8)*($C$8-$B$8)),$D$8-SQRT((1-C862)*($D$8-$B$8)*($D$8-$C$8)))</f>
        <v>9.85992920231417</v>
      </c>
      <c r="E862" s="26" t="n">
        <f aca="true">MAX(0,$E$8+$F$8*_xlfn.NORM.S.INV(RAND()))</f>
        <v>0.925789369607808</v>
      </c>
      <c r="F862" s="27" t="n">
        <f aca="false">1/(1+EXP(-03_Inputs_Assumptions!$B$14*(E862-03_Inputs_Assumptions!$B$5)))</f>
        <v>0.00657063386071594</v>
      </c>
      <c r="G862" s="28" t="n">
        <f aca="false">D862*04_Baseline_PnL!$B$15*F862*04_Baseline_PnL!$B$14</f>
        <v>18525.5258880925</v>
      </c>
      <c r="H862" s="28" t="n">
        <f aca="false">D862*03_Inputs_Assumptions!$B$13*01_Macro_Data!$B$97*($G$8-1)+D862*04_Baseline_PnL!$B$15*04_Baseline_PnL!$B$13*03_Inputs_Assumptions!$B$15*($H$8-1)</f>
        <v>177916.074348918</v>
      </c>
      <c r="I862" s="16" t="n">
        <f aca="false">G862+H862</f>
        <v>196441.60023701</v>
      </c>
    </row>
    <row r="863" customFormat="false" ht="15" hidden="false" customHeight="true" outlineLevel="0" collapsed="false">
      <c r="A863" s="4" t="s">
        <v>304</v>
      </c>
      <c r="B863" s="4" t="n">
        <v>253</v>
      </c>
      <c r="C863" s="24" t="n">
        <f aca="true">RAND()</f>
        <v>0.87921546351105</v>
      </c>
      <c r="D863" s="25" t="n">
        <f aca="false">IF(C863&lt;(($C$8-$B$8)/($D$8-$B$8)),$B$8+SQRT(C863*($D$8-$B$8)*($C$8-$B$8)),$D$8-SQRT((1-C863)*($D$8-$B$8)*($D$8-$C$8)))</f>
        <v>12.8915015008664</v>
      </c>
      <c r="E863" s="26" t="n">
        <f aca="true">MAX(0,$E$8+$F$8*_xlfn.NORM.S.INV(RAND()))</f>
        <v>0.721029657547641</v>
      </c>
      <c r="F863" s="27" t="n">
        <f aca="false">1/(1+EXP(-03_Inputs_Assumptions!$B$14*(E863-03_Inputs_Assumptions!$B$5)))</f>
        <v>0.00624479500806657</v>
      </c>
      <c r="G863" s="28" t="n">
        <f aca="false">D863*04_Baseline_PnL!$B$15*F863*04_Baseline_PnL!$B$14</f>
        <v>23020.3102030459</v>
      </c>
      <c r="H863" s="28" t="n">
        <f aca="false">D863*03_Inputs_Assumptions!$B$13*01_Macro_Data!$B$97*($G$8-1)+D863*04_Baseline_PnL!$B$15*04_Baseline_PnL!$B$13*03_Inputs_Assumptions!$B$15*($H$8-1)</f>
        <v>232618.844662597</v>
      </c>
      <c r="I863" s="16" t="n">
        <f aca="false">G863+H863</f>
        <v>255639.154865643</v>
      </c>
    </row>
    <row r="864" customFormat="false" ht="15" hidden="false" customHeight="true" outlineLevel="0" collapsed="false">
      <c r="A864" s="4" t="s">
        <v>304</v>
      </c>
      <c r="B864" s="4" t="n">
        <v>254</v>
      </c>
      <c r="C864" s="24" t="n">
        <f aca="true">RAND()</f>
        <v>0.179824524679925</v>
      </c>
      <c r="D864" s="25" t="n">
        <f aca="false">IF(C864&lt;(($C$8-$B$8)/($D$8-$B$8)),$B$8+SQRT(C864*($D$8-$B$8)*($C$8-$B$8)),$D$8-SQRT((1-C864)*($D$8-$B$8)*($D$8-$C$8)))</f>
        <v>7.89644153445302</v>
      </c>
      <c r="E864" s="26" t="n">
        <f aca="true">MAX(0,$E$8+$F$8*_xlfn.NORM.S.INV(RAND()))</f>
        <v>0.192211761711843</v>
      </c>
      <c r="F864" s="27" t="n">
        <f aca="false">1/(1+EXP(-03_Inputs_Assumptions!$B$14*(E864-03_Inputs_Assumptions!$B$5)))</f>
        <v>0.00547568557650113</v>
      </c>
      <c r="G864" s="28" t="n">
        <f aca="false">D864*04_Baseline_PnL!$B$15*F864*04_Baseline_PnL!$B$14</f>
        <v>12364.0117085451</v>
      </c>
      <c r="H864" s="28" t="n">
        <f aca="false">D864*03_Inputs_Assumptions!$B$13*01_Macro_Data!$B$97*($G$8-1)+D864*04_Baseline_PnL!$B$15*04_Baseline_PnL!$B$13*03_Inputs_Assumptions!$B$15*($H$8-1)</f>
        <v>142486.203532363</v>
      </c>
      <c r="I864" s="16" t="n">
        <f aca="false">G864+H864</f>
        <v>154850.215240908</v>
      </c>
    </row>
    <row r="865" customFormat="false" ht="15" hidden="false" customHeight="true" outlineLevel="0" collapsed="false">
      <c r="A865" s="4" t="s">
        <v>304</v>
      </c>
      <c r="B865" s="4" t="n">
        <v>255</v>
      </c>
      <c r="C865" s="24" t="n">
        <f aca="true">RAND()</f>
        <v>0.0574818606826105</v>
      </c>
      <c r="D865" s="25" t="n">
        <f aca="false">IF(C865&lt;(($C$8-$B$8)/($D$8-$B$8)),$B$8+SQRT(C865*($D$8-$B$8)*($C$8-$B$8)),$D$8-SQRT((1-C865)*($D$8-$B$8)*($D$8-$C$8)))</f>
        <v>7.07221136612713</v>
      </c>
      <c r="E865" s="26" t="n">
        <f aca="true">MAX(0,$E$8+$F$8*_xlfn.NORM.S.INV(RAND()))</f>
        <v>0</v>
      </c>
      <c r="F865" s="27" t="n">
        <f aca="false">1/(1+EXP(-03_Inputs_Assumptions!$B$14*(E865-03_Inputs_Assumptions!$B$5)))</f>
        <v>0.0052201256935584</v>
      </c>
      <c r="G865" s="28" t="n">
        <f aca="false">D865*04_Baseline_PnL!$B$15*F865*04_Baseline_PnL!$B$14</f>
        <v>10556.6390737237</v>
      </c>
      <c r="H865" s="28" t="n">
        <f aca="false">D865*03_Inputs_Assumptions!$B$13*01_Macro_Data!$B$97*($G$8-1)+D865*04_Baseline_PnL!$B$15*04_Baseline_PnL!$B$13*03_Inputs_Assumptions!$B$15*($H$8-1)</f>
        <v>127613.50080808</v>
      </c>
      <c r="I865" s="16" t="n">
        <f aca="false">G865+H865</f>
        <v>138170.139881804</v>
      </c>
    </row>
    <row r="866" customFormat="false" ht="15" hidden="false" customHeight="true" outlineLevel="0" collapsed="false">
      <c r="A866" s="4" t="s">
        <v>304</v>
      </c>
      <c r="B866" s="4" t="n">
        <v>256</v>
      </c>
      <c r="C866" s="24" t="n">
        <f aca="true">RAND()</f>
        <v>0.117486905261944</v>
      </c>
      <c r="D866" s="25" t="n">
        <f aca="false">IF(C866&lt;(($C$8-$B$8)/($D$8-$B$8)),$B$8+SQRT(C866*($D$8-$B$8)*($C$8-$B$8)),$D$8-SQRT((1-C866)*($D$8-$B$8)*($D$8-$C$8)))</f>
        <v>7.53288554864311</v>
      </c>
      <c r="E866" s="26" t="n">
        <f aca="true">MAX(0,$E$8+$F$8*_xlfn.NORM.S.INV(RAND()))</f>
        <v>0</v>
      </c>
      <c r="F866" s="27" t="n">
        <f aca="false">1/(1+EXP(-03_Inputs_Assumptions!$B$14*(E866-03_Inputs_Assumptions!$B$5)))</f>
        <v>0.0052201256935584</v>
      </c>
      <c r="G866" s="28" t="n">
        <f aca="false">D866*04_Baseline_PnL!$B$15*F866*04_Baseline_PnL!$B$14</f>
        <v>11244.2841148061</v>
      </c>
      <c r="H866" s="28" t="n">
        <f aca="false">D866*03_Inputs_Assumptions!$B$13*01_Macro_Data!$B$97*($G$8-1)+D866*04_Baseline_PnL!$B$15*04_Baseline_PnL!$B$13*03_Inputs_Assumptions!$B$15*($H$8-1)</f>
        <v>135926.069836254</v>
      </c>
      <c r="I866" s="16" t="n">
        <f aca="false">G866+H866</f>
        <v>147170.35395106</v>
      </c>
    </row>
    <row r="867" customFormat="false" ht="15" hidden="false" customHeight="true" outlineLevel="0" collapsed="false">
      <c r="A867" s="4" t="s">
        <v>304</v>
      </c>
      <c r="B867" s="4" t="n">
        <v>257</v>
      </c>
      <c r="C867" s="24" t="n">
        <f aca="true">RAND()</f>
        <v>0.891538402752111</v>
      </c>
      <c r="D867" s="25" t="n">
        <f aca="false">IF(C867&lt;(($C$8-$B$8)/($D$8-$B$8)),$B$8+SQRT(C867*($D$8-$B$8)*($C$8-$B$8)),$D$8-SQRT((1-C867)*($D$8-$B$8)*($D$8-$C$8)))</f>
        <v>13.0543374633487</v>
      </c>
      <c r="E867" s="26" t="n">
        <f aca="true">MAX(0,$E$8+$F$8*_xlfn.NORM.S.INV(RAND()))</f>
        <v>0.0777825209979151</v>
      </c>
      <c r="F867" s="27" t="n">
        <f aca="false">1/(1+EXP(-03_Inputs_Assumptions!$B$14*(E867-03_Inputs_Assumptions!$B$5)))</f>
        <v>0.00532208218170819</v>
      </c>
      <c r="G867" s="28" t="n">
        <f aca="false">D867*04_Baseline_PnL!$B$15*F867*04_Baseline_PnL!$B$14</f>
        <v>19866.7072891833</v>
      </c>
      <c r="H867" s="28" t="n">
        <f aca="false">D867*03_Inputs_Assumptions!$B$13*01_Macro_Data!$B$97*($G$8-1)+D867*04_Baseline_PnL!$B$15*04_Baseline_PnL!$B$13*03_Inputs_Assumptions!$B$15*($H$8-1)</f>
        <v>235557.1147671</v>
      </c>
      <c r="I867" s="16" t="n">
        <f aca="false">G867+H867</f>
        <v>255423.822056284</v>
      </c>
    </row>
    <row r="868" customFormat="false" ht="15" hidden="false" customHeight="true" outlineLevel="0" collapsed="false">
      <c r="A868" s="4" t="s">
        <v>304</v>
      </c>
      <c r="B868" s="4" t="n">
        <v>258</v>
      </c>
      <c r="C868" s="24" t="n">
        <f aca="true">RAND()</f>
        <v>0.336411935195117</v>
      </c>
      <c r="D868" s="25" t="n">
        <f aca="false">IF(C868&lt;(($C$8-$B$8)/($D$8-$B$8)),$B$8+SQRT(C868*($D$8-$B$8)*($C$8-$B$8)),$D$8-SQRT((1-C868)*($D$8-$B$8)*($D$8-$C$8)))</f>
        <v>8.71391427552553</v>
      </c>
      <c r="E868" s="26" t="n">
        <f aca="true">MAX(0,$E$8+$F$8*_xlfn.NORM.S.INV(RAND()))</f>
        <v>0.771343671730202</v>
      </c>
      <c r="F868" s="27" t="n">
        <f aca="false">1/(1+EXP(-03_Inputs_Assumptions!$B$14*(E868-03_Inputs_Assumptions!$B$5)))</f>
        <v>0.00632334144734135</v>
      </c>
      <c r="G868" s="28" t="n">
        <f aca="false">D868*04_Baseline_PnL!$B$15*F868*04_Baseline_PnL!$B$14</f>
        <v>15756.1242848686</v>
      </c>
      <c r="H868" s="28" t="n">
        <f aca="false">D868*03_Inputs_Assumptions!$B$13*01_Macro_Data!$B$97*($G$8-1)+D868*04_Baseline_PnL!$B$15*04_Baseline_PnL!$B$13*03_Inputs_Assumptions!$B$15*($H$8-1)</f>
        <v>157236.972832485</v>
      </c>
      <c r="I868" s="16" t="n">
        <f aca="false">G868+H868</f>
        <v>172993.097117353</v>
      </c>
    </row>
    <row r="869" customFormat="false" ht="15" hidden="false" customHeight="true" outlineLevel="0" collapsed="false">
      <c r="A869" s="4" t="s">
        <v>304</v>
      </c>
      <c r="B869" s="4" t="n">
        <v>259</v>
      </c>
      <c r="C869" s="24" t="n">
        <f aca="true">RAND()</f>
        <v>0.840639938797459</v>
      </c>
      <c r="D869" s="25" t="n">
        <f aca="false">IF(C869&lt;(($C$8-$B$8)/($D$8-$B$8)),$B$8+SQRT(C869*($D$8-$B$8)*($C$8-$B$8)),$D$8-SQRT((1-C869)*($D$8-$B$8)*($D$8-$C$8)))</f>
        <v>12.4294531376548</v>
      </c>
      <c r="E869" s="26" t="n">
        <f aca="true">MAX(0,$E$8+$F$8*_xlfn.NORM.S.INV(RAND()))</f>
        <v>0.40954111449971</v>
      </c>
      <c r="F869" s="27" t="n">
        <f aca="false">1/(1+EXP(-03_Inputs_Assumptions!$B$14*(E869-03_Inputs_Assumptions!$B$5)))</f>
        <v>0.00577965582426513</v>
      </c>
      <c r="G869" s="28" t="n">
        <f aca="false">D869*04_Baseline_PnL!$B$15*F869*04_Baseline_PnL!$B$14</f>
        <v>20542.0357022028</v>
      </c>
      <c r="H869" s="28" t="n">
        <f aca="false">D869*03_Inputs_Assumptions!$B$13*01_Macro_Data!$B$97*($G$8-1)+D869*04_Baseline_PnL!$B$15*04_Baseline_PnL!$B$13*03_Inputs_Assumptions!$B$15*($H$8-1)</f>
        <v>224281.479428509</v>
      </c>
      <c r="I869" s="16" t="n">
        <f aca="false">G869+H869</f>
        <v>244823.515130711</v>
      </c>
    </row>
    <row r="870" customFormat="false" ht="15" hidden="false" customHeight="true" outlineLevel="0" collapsed="false">
      <c r="A870" s="4" t="s">
        <v>304</v>
      </c>
      <c r="B870" s="4" t="n">
        <v>260</v>
      </c>
      <c r="C870" s="24" t="n">
        <f aca="true">RAND()</f>
        <v>0.819524092809379</v>
      </c>
      <c r="D870" s="25" t="n">
        <f aca="false">IF(C870&lt;(($C$8-$B$8)/($D$8-$B$8)),$B$8+SQRT(C870*($D$8-$B$8)*($C$8-$B$8)),$D$8-SQRT((1-C870)*($D$8-$B$8)*($D$8-$C$8)))</f>
        <v>12.2002536169831</v>
      </c>
      <c r="E870" s="26" t="n">
        <f aca="true">MAX(0,$E$8+$F$8*_xlfn.NORM.S.INV(RAND()))</f>
        <v>0</v>
      </c>
      <c r="F870" s="27" t="n">
        <f aca="false">1/(1+EXP(-03_Inputs_Assumptions!$B$14*(E870-03_Inputs_Assumptions!$B$5)))</f>
        <v>0.0052201256935584</v>
      </c>
      <c r="G870" s="28" t="n">
        <f aca="false">D870*04_Baseline_PnL!$B$15*F870*04_Baseline_PnL!$B$14</f>
        <v>18211.2308830658</v>
      </c>
      <c r="H870" s="28" t="n">
        <f aca="false">D870*03_Inputs_Assumptions!$B$13*01_Macro_Data!$B$97*($G$8-1)+D870*04_Baseline_PnL!$B$15*04_Baseline_PnL!$B$13*03_Inputs_Assumptions!$B$15*($H$8-1)</f>
        <v>220145.721643252</v>
      </c>
      <c r="I870" s="16" t="n">
        <f aca="false">G870+H870</f>
        <v>238356.952526318</v>
      </c>
    </row>
    <row r="871" customFormat="false" ht="15" hidden="false" customHeight="true" outlineLevel="0" collapsed="false">
      <c r="A871" s="4" t="s">
        <v>304</v>
      </c>
      <c r="B871" s="4" t="n">
        <v>261</v>
      </c>
      <c r="C871" s="24" t="n">
        <f aca="true">RAND()</f>
        <v>0.343496347163946</v>
      </c>
      <c r="D871" s="25" t="n">
        <f aca="false">IF(C871&lt;(($C$8-$B$8)/($D$8-$B$8)),$B$8+SQRT(C871*($D$8-$B$8)*($C$8-$B$8)),$D$8-SQRT((1-C871)*($D$8-$B$8)*($D$8-$C$8)))</f>
        <v>8.75291146549979</v>
      </c>
      <c r="E871" s="26" t="n">
        <f aca="true">MAX(0,$E$8+$F$8*_xlfn.NORM.S.INV(RAND()))</f>
        <v>0</v>
      </c>
      <c r="F871" s="27" t="n">
        <f aca="false">1/(1+EXP(-03_Inputs_Assumptions!$B$14*(E871-03_Inputs_Assumptions!$B$5)))</f>
        <v>0.0052201256935584</v>
      </c>
      <c r="G871" s="28" t="n">
        <f aca="false">D871*04_Baseline_PnL!$B$15*F871*04_Baseline_PnL!$B$14</f>
        <v>13065.4080317936</v>
      </c>
      <c r="H871" s="28" t="n">
        <f aca="false">D871*03_Inputs_Assumptions!$B$13*01_Macro_Data!$B$97*($G$8-1)+D871*04_Baseline_PnL!$B$15*04_Baseline_PnL!$B$13*03_Inputs_Assumptions!$B$15*($H$8-1)</f>
        <v>157940.652018054</v>
      </c>
      <c r="I871" s="16" t="n">
        <f aca="false">G871+H871</f>
        <v>171006.060049848</v>
      </c>
    </row>
    <row r="872" customFormat="false" ht="15" hidden="false" customHeight="true" outlineLevel="0" collapsed="false">
      <c r="A872" s="4" t="s">
        <v>304</v>
      </c>
      <c r="B872" s="4" t="n">
        <v>262</v>
      </c>
      <c r="C872" s="24" t="n">
        <f aca="true">RAND()</f>
        <v>0.310267863096873</v>
      </c>
      <c r="D872" s="25" t="n">
        <f aca="false">IF(C872&lt;(($C$8-$B$8)/($D$8-$B$8)),$B$8+SQRT(C872*($D$8-$B$8)*($C$8-$B$8)),$D$8-SQRT((1-C872)*($D$8-$B$8)*($D$8-$C$8)))</f>
        <v>8.57177201802138</v>
      </c>
      <c r="E872" s="26" t="n">
        <f aca="true">MAX(0,$E$8+$F$8*_xlfn.NORM.S.INV(RAND()))</f>
        <v>0.519463307198708</v>
      </c>
      <c r="F872" s="27" t="n">
        <f aca="false">1/(1+EXP(-03_Inputs_Assumptions!$B$14*(E872-03_Inputs_Assumptions!$B$5)))</f>
        <v>0.00593972992693187</v>
      </c>
      <c r="G872" s="28" t="n">
        <f aca="false">D872*04_Baseline_PnL!$B$15*F872*04_Baseline_PnL!$B$14</f>
        <v>14558.8406112553</v>
      </c>
      <c r="H872" s="28" t="n">
        <f aca="false">D872*03_Inputs_Assumptions!$B$13*01_Macro_Data!$B$97*($G$8-1)+D872*04_Baseline_PnL!$B$15*04_Baseline_PnL!$B$13*03_Inputs_Assumptions!$B$15*($H$8-1)</f>
        <v>154672.107311108</v>
      </c>
      <c r="I872" s="16" t="n">
        <f aca="false">G872+H872</f>
        <v>169230.947922363</v>
      </c>
    </row>
    <row r="873" customFormat="false" ht="15" hidden="false" customHeight="true" outlineLevel="0" collapsed="false">
      <c r="A873" s="4" t="s">
        <v>304</v>
      </c>
      <c r="B873" s="4" t="n">
        <v>263</v>
      </c>
      <c r="C873" s="24" t="n">
        <f aca="true">RAND()</f>
        <v>0.127942959593899</v>
      </c>
      <c r="D873" s="25" t="n">
        <f aca="false">IF(C873&lt;(($C$8-$B$8)/($D$8-$B$8)),$B$8+SQRT(C873*($D$8-$B$8)*($C$8-$B$8)),$D$8-SQRT((1-C873)*($D$8-$B$8)*($D$8-$C$8)))</f>
        <v>7.59964345773612</v>
      </c>
      <c r="E873" s="26" t="n">
        <f aca="true">MAX(0,$E$8+$F$8*_xlfn.NORM.S.INV(RAND()))</f>
        <v>0.233266400031759</v>
      </c>
      <c r="F873" s="27" t="n">
        <f aca="false">1/(1+EXP(-03_Inputs_Assumptions!$B$14*(E873-03_Inputs_Assumptions!$B$5)))</f>
        <v>0.00553186305545698</v>
      </c>
      <c r="G873" s="28" t="n">
        <f aca="false">D873*04_Baseline_PnL!$B$15*F873*04_Baseline_PnL!$B$14</f>
        <v>12021.3742863181</v>
      </c>
      <c r="H873" s="28" t="n">
        <f aca="false">D873*03_Inputs_Assumptions!$B$13*01_Macro_Data!$B$97*($G$8-1)+D873*04_Baseline_PnL!$B$15*04_Baseline_PnL!$B$13*03_Inputs_Assumptions!$B$15*($H$8-1)</f>
        <v>137130.67332517</v>
      </c>
      <c r="I873" s="16" t="n">
        <f aca="false">G873+H873</f>
        <v>149152.047611488</v>
      </c>
    </row>
    <row r="874" customFormat="false" ht="15" hidden="false" customHeight="true" outlineLevel="0" collapsed="false">
      <c r="A874" s="4" t="s">
        <v>304</v>
      </c>
      <c r="B874" s="4" t="n">
        <v>264</v>
      </c>
      <c r="C874" s="24" t="n">
        <f aca="true">RAND()</f>
        <v>0.999639671239365</v>
      </c>
      <c r="D874" s="25" t="n">
        <f aca="false">IF(C874&lt;(($C$8-$B$8)/($D$8-$B$8)),$B$8+SQRT(C874*($D$8-$B$8)*($C$8-$B$8)),$D$8-SQRT((1-C874)*($D$8-$B$8)*($D$8-$C$8)))</f>
        <v>15.8302169005737</v>
      </c>
      <c r="E874" s="26" t="n">
        <f aca="true">MAX(0,$E$8+$F$8*_xlfn.NORM.S.INV(RAND()))</f>
        <v>0</v>
      </c>
      <c r="F874" s="27" t="n">
        <f aca="false">1/(1+EXP(-03_Inputs_Assumptions!$B$14*(E874-03_Inputs_Assumptions!$B$5)))</f>
        <v>0.0052201256935584</v>
      </c>
      <c r="G874" s="28" t="n">
        <f aca="false">D874*04_Baseline_PnL!$B$15*F874*04_Baseline_PnL!$B$14</f>
        <v>23629.6509856198</v>
      </c>
      <c r="H874" s="28" t="n">
        <f aca="false">D874*03_Inputs_Assumptions!$B$13*01_Macro_Data!$B$97*($G$8-1)+D874*04_Baseline_PnL!$B$15*04_Baseline_PnL!$B$13*03_Inputs_Assumptions!$B$15*($H$8-1)</f>
        <v>285646.07202057</v>
      </c>
      <c r="I874" s="16" t="n">
        <f aca="false">G874+H874</f>
        <v>309275.72300619</v>
      </c>
    </row>
    <row r="875" customFormat="false" ht="15" hidden="false" customHeight="true" outlineLevel="0" collapsed="false">
      <c r="A875" s="4" t="s">
        <v>304</v>
      </c>
      <c r="B875" s="4" t="n">
        <v>265</v>
      </c>
      <c r="C875" s="24" t="n">
        <f aca="true">RAND()</f>
        <v>0.0658053416168631</v>
      </c>
      <c r="D875" s="25" t="n">
        <f aca="false">IF(C875&lt;(($C$8-$B$8)/($D$8-$B$8)),$B$8+SQRT(C875*($D$8-$B$8)*($C$8-$B$8)),$D$8-SQRT((1-C875)*($D$8-$B$8)*($D$8-$C$8)))</f>
        <v>7.14721699444232</v>
      </c>
      <c r="E875" s="26" t="n">
        <f aca="true">MAX(0,$E$8+$F$8*_xlfn.NORM.S.INV(RAND()))</f>
        <v>0</v>
      </c>
      <c r="F875" s="27" t="n">
        <f aca="false">1/(1+EXP(-03_Inputs_Assumptions!$B$14*(E875-03_Inputs_Assumptions!$B$5)))</f>
        <v>0.0052201256935584</v>
      </c>
      <c r="G875" s="28" t="n">
        <f aca="false">D875*04_Baseline_PnL!$B$15*F875*04_Baseline_PnL!$B$14</f>
        <v>10668.5994359965</v>
      </c>
      <c r="H875" s="28" t="n">
        <f aca="false">D875*03_Inputs_Assumptions!$B$13*01_Macro_Data!$B$97*($G$8-1)+D875*04_Baseline_PnL!$B$15*04_Baseline_PnL!$B$13*03_Inputs_Assumptions!$B$15*($H$8-1)</f>
        <v>128966.929080241</v>
      </c>
      <c r="I875" s="16" t="n">
        <f aca="false">G875+H875</f>
        <v>139635.528516237</v>
      </c>
    </row>
    <row r="876" customFormat="false" ht="15" hidden="false" customHeight="true" outlineLevel="0" collapsed="false">
      <c r="A876" s="4" t="s">
        <v>304</v>
      </c>
      <c r="B876" s="4" t="n">
        <v>266</v>
      </c>
      <c r="C876" s="24" t="n">
        <f aca="true">RAND()</f>
        <v>0.0268765387090294</v>
      </c>
      <c r="D876" s="25" t="n">
        <f aca="false">IF(C876&lt;(($C$8-$B$8)/($D$8-$B$8)),$B$8+SQRT(C876*($D$8-$B$8)*($C$8-$B$8)),$D$8-SQRT((1-C876)*($D$8-$B$8)*($D$8-$C$8)))</f>
        <v>6.73316490244732</v>
      </c>
      <c r="E876" s="26" t="n">
        <f aca="true">MAX(0,$E$8+$F$8*_xlfn.NORM.S.INV(RAND()))</f>
        <v>0</v>
      </c>
      <c r="F876" s="27" t="n">
        <f aca="false">1/(1+EXP(-03_Inputs_Assumptions!$B$14*(E876-03_Inputs_Assumptions!$B$5)))</f>
        <v>0.0052201256935584</v>
      </c>
      <c r="G876" s="28" t="n">
        <f aca="false">D876*04_Baseline_PnL!$B$15*F876*04_Baseline_PnL!$B$14</f>
        <v>10050.5468543321</v>
      </c>
      <c r="H876" s="28" t="n">
        <f aca="false">D876*03_Inputs_Assumptions!$B$13*01_Macro_Data!$B$97*($G$8-1)+D876*04_Baseline_PnL!$B$15*04_Baseline_PnL!$B$13*03_Inputs_Assumptions!$B$15*($H$8-1)</f>
        <v>121495.625658872</v>
      </c>
      <c r="I876" s="16" t="n">
        <f aca="false">G876+H876</f>
        <v>131546.172513204</v>
      </c>
    </row>
    <row r="877" customFormat="false" ht="15" hidden="false" customHeight="true" outlineLevel="0" collapsed="false">
      <c r="A877" s="4" t="s">
        <v>304</v>
      </c>
      <c r="B877" s="4" t="n">
        <v>267</v>
      </c>
      <c r="C877" s="24" t="n">
        <f aca="true">RAND()</f>
        <v>0.147511465501371</v>
      </c>
      <c r="D877" s="25" t="n">
        <f aca="false">IF(C877&lt;(($C$8-$B$8)/($D$8-$B$8)),$B$8+SQRT(C877*($D$8-$B$8)*($C$8-$B$8)),$D$8-SQRT((1-C877)*($D$8-$B$8)*($D$8-$C$8)))</f>
        <v>7.71762315716441</v>
      </c>
      <c r="E877" s="26" t="n">
        <f aca="true">MAX(0,$E$8+$F$8*_xlfn.NORM.S.INV(RAND()))</f>
        <v>1.33080249855511</v>
      </c>
      <c r="F877" s="27" t="n">
        <f aca="false">1/(1+EXP(-03_Inputs_Assumptions!$B$14*(E877-03_Inputs_Assumptions!$B$5)))</f>
        <v>0.00726569304036619</v>
      </c>
      <c r="G877" s="28" t="n">
        <f aca="false">D877*04_Baseline_PnL!$B$15*F877*04_Baseline_PnL!$B$14</f>
        <v>16034.3033551889</v>
      </c>
      <c r="H877" s="28" t="n">
        <f aca="false">D877*03_Inputs_Assumptions!$B$13*01_Macro_Data!$B$97*($G$8-1)+D877*04_Baseline_PnL!$B$15*04_Baseline_PnL!$B$13*03_Inputs_Assumptions!$B$15*($H$8-1)</f>
        <v>139259.541042619</v>
      </c>
      <c r="I877" s="16" t="n">
        <f aca="false">G877+H877</f>
        <v>155293.844397808</v>
      </c>
    </row>
    <row r="878" customFormat="false" ht="15" hidden="false" customHeight="true" outlineLevel="0" collapsed="false">
      <c r="A878" s="4" t="s">
        <v>304</v>
      </c>
      <c r="B878" s="4" t="n">
        <v>268</v>
      </c>
      <c r="C878" s="24" t="n">
        <f aca="true">RAND()</f>
        <v>0.113722186916786</v>
      </c>
      <c r="D878" s="25" t="n">
        <f aca="false">IF(C878&lt;(($C$8-$B$8)/($D$8-$B$8)),$B$8+SQRT(C878*($D$8-$B$8)*($C$8-$B$8)),$D$8-SQRT((1-C878)*($D$8-$B$8)*($D$8-$C$8)))</f>
        <v>7.50812590268045</v>
      </c>
      <c r="E878" s="26" t="n">
        <f aca="true">MAX(0,$E$8+$F$8*_xlfn.NORM.S.INV(RAND()))</f>
        <v>0</v>
      </c>
      <c r="F878" s="27" t="n">
        <f aca="false">1/(1+EXP(-03_Inputs_Assumptions!$B$14*(E878-03_Inputs_Assumptions!$B$5)))</f>
        <v>0.0052201256935584</v>
      </c>
      <c r="G878" s="28" t="n">
        <f aca="false">D878*04_Baseline_PnL!$B$15*F878*04_Baseline_PnL!$B$14</f>
        <v>11207.325569241</v>
      </c>
      <c r="H878" s="28" t="n">
        <f aca="false">D878*03_Inputs_Assumptions!$B$13*01_Macro_Data!$B$97*($G$8-1)+D878*04_Baseline_PnL!$B$15*04_Baseline_PnL!$B$13*03_Inputs_Assumptions!$B$15*($H$8-1)</f>
        <v>135479.297965832</v>
      </c>
      <c r="I878" s="16" t="n">
        <f aca="false">G878+H878</f>
        <v>146686.623535073</v>
      </c>
    </row>
    <row r="879" customFormat="false" ht="15" hidden="false" customHeight="true" outlineLevel="0" collapsed="false">
      <c r="A879" s="4" t="s">
        <v>304</v>
      </c>
      <c r="B879" s="4" t="n">
        <v>269</v>
      </c>
      <c r="C879" s="24" t="n">
        <f aca="true">RAND()</f>
        <v>0.692630838050278</v>
      </c>
      <c r="D879" s="25" t="n">
        <f aca="false">IF(C879&lt;(($C$8-$B$8)/($D$8-$B$8)),$B$8+SQRT(C879*($D$8-$B$8)*($C$8-$B$8)),$D$8-SQRT((1-C879)*($D$8-$B$8)*($D$8-$C$8)))</f>
        <v>11.0412165850909</v>
      </c>
      <c r="E879" s="26" t="n">
        <f aca="true">MAX(0,$E$8+$F$8*_xlfn.NORM.S.INV(RAND()))</f>
        <v>0</v>
      </c>
      <c r="F879" s="27" t="n">
        <f aca="false">1/(1+EXP(-03_Inputs_Assumptions!$B$14*(E879-03_Inputs_Assumptions!$B$5)))</f>
        <v>0.0052201256935584</v>
      </c>
      <c r="G879" s="28" t="n">
        <f aca="false">D879*04_Baseline_PnL!$B$15*F879*04_Baseline_PnL!$B$14</f>
        <v>16481.1446362987</v>
      </c>
      <c r="H879" s="28" t="n">
        <f aca="false">D879*03_Inputs_Assumptions!$B$13*01_Macro_Data!$B$97*($G$8-1)+D879*04_Baseline_PnL!$B$15*04_Baseline_PnL!$B$13*03_Inputs_Assumptions!$B$15*($H$8-1)</f>
        <v>199231.644624231</v>
      </c>
      <c r="I879" s="16" t="n">
        <f aca="false">G879+H879</f>
        <v>215712.789260529</v>
      </c>
    </row>
    <row r="880" customFormat="false" ht="15" hidden="false" customHeight="true" outlineLevel="0" collapsed="false">
      <c r="A880" s="4" t="s">
        <v>304</v>
      </c>
      <c r="B880" s="4" t="n">
        <v>270</v>
      </c>
      <c r="C880" s="24" t="n">
        <f aca="true">RAND()</f>
        <v>0.52698775312027</v>
      </c>
      <c r="D880" s="25" t="n">
        <f aca="false">IF(C880&lt;(($C$8-$B$8)/($D$8-$B$8)),$B$8+SQRT(C880*($D$8-$B$8)*($C$8-$B$8)),$D$8-SQRT((1-C880)*($D$8-$B$8)*($D$8-$C$8)))</f>
        <v>9.84849776474247</v>
      </c>
      <c r="E880" s="26" t="n">
        <f aca="true">MAX(0,$E$8+$F$8*_xlfn.NORM.S.INV(RAND()))</f>
        <v>0.599100747631572</v>
      </c>
      <c r="F880" s="27" t="n">
        <f aca="false">1/(1+EXP(-03_Inputs_Assumptions!$B$14*(E880-03_Inputs_Assumptions!$B$5)))</f>
        <v>0.00605844757462879</v>
      </c>
      <c r="G880" s="28" t="n">
        <f aca="false">D880*04_Baseline_PnL!$B$15*F880*04_Baseline_PnL!$B$14</f>
        <v>17061.6420422125</v>
      </c>
      <c r="H880" s="28" t="n">
        <f aca="false">D880*03_Inputs_Assumptions!$B$13*01_Macro_Data!$B$97*($G$8-1)+D880*04_Baseline_PnL!$B$15*04_Baseline_PnL!$B$13*03_Inputs_Assumptions!$B$15*($H$8-1)</f>
        <v>177709.801417825</v>
      </c>
      <c r="I880" s="16" t="n">
        <f aca="false">G880+H880</f>
        <v>194771.443460038</v>
      </c>
    </row>
    <row r="881" customFormat="false" ht="15" hidden="false" customHeight="true" outlineLevel="0" collapsed="false">
      <c r="A881" s="4" t="s">
        <v>304</v>
      </c>
      <c r="B881" s="4" t="n">
        <v>271</v>
      </c>
      <c r="C881" s="24" t="n">
        <f aca="true">RAND()</f>
        <v>0.748458255561347</v>
      </c>
      <c r="D881" s="25" t="n">
        <f aca="false">IF(C881&lt;(($C$8-$B$8)/($D$8-$B$8)),$B$8+SQRT(C881*($D$8-$B$8)*($C$8-$B$8)),$D$8-SQRT((1-C881)*($D$8-$B$8)*($D$8-$C$8)))</f>
        <v>11.5140954585399</v>
      </c>
      <c r="E881" s="26" t="n">
        <f aca="true">MAX(0,$E$8+$F$8*_xlfn.NORM.S.INV(RAND()))</f>
        <v>0.577406325749892</v>
      </c>
      <c r="F881" s="27" t="n">
        <f aca="false">1/(1+EXP(-03_Inputs_Assumptions!$B$14*(E881-03_Inputs_Assumptions!$B$5)))</f>
        <v>0.00602587535650015</v>
      </c>
      <c r="G881" s="28" t="n">
        <f aca="false">D881*04_Baseline_PnL!$B$15*F881*04_Baseline_PnL!$B$14</f>
        <v>19839.8987338065</v>
      </c>
      <c r="H881" s="28" t="n">
        <f aca="false">D881*03_Inputs_Assumptions!$B$13*01_Macro_Data!$B$97*($G$8-1)+D881*04_Baseline_PnL!$B$15*04_Baseline_PnL!$B$13*03_Inputs_Assumptions!$B$15*($H$8-1)</f>
        <v>207764.439442559</v>
      </c>
      <c r="I881" s="16" t="n">
        <f aca="false">G881+H881</f>
        <v>227604.338176365</v>
      </c>
    </row>
    <row r="882" customFormat="false" ht="15" hidden="false" customHeight="true" outlineLevel="0" collapsed="false">
      <c r="A882" s="4" t="s">
        <v>304</v>
      </c>
      <c r="B882" s="4" t="n">
        <v>272</v>
      </c>
      <c r="C882" s="24" t="n">
        <f aca="true">RAND()</f>
        <v>0.824763676146882</v>
      </c>
      <c r="D882" s="25" t="n">
        <f aca="false">IF(C882&lt;(($C$8-$B$8)/($D$8-$B$8)),$B$8+SQRT(C882*($D$8-$B$8)*($C$8-$B$8)),$D$8-SQRT((1-C882)*($D$8-$B$8)*($D$8-$C$8)))</f>
        <v>12.2558170573209</v>
      </c>
      <c r="E882" s="26" t="n">
        <f aca="true">MAX(0,$E$8+$F$8*_xlfn.NORM.S.INV(RAND()))</f>
        <v>0.334309247149317</v>
      </c>
      <c r="F882" s="27" t="n">
        <f aca="false">1/(1+EXP(-03_Inputs_Assumptions!$B$14*(E882-03_Inputs_Assumptions!$B$5)))</f>
        <v>0.00567257898405967</v>
      </c>
      <c r="G882" s="28" t="n">
        <f aca="false">D882*04_Baseline_PnL!$B$15*F882*04_Baseline_PnL!$B$14</f>
        <v>19879.8133495563</v>
      </c>
      <c r="H882" s="28" t="n">
        <f aca="false">D882*03_Inputs_Assumptions!$B$13*01_Macro_Data!$B$97*($G$8-1)+D882*04_Baseline_PnL!$B$15*04_Baseline_PnL!$B$13*03_Inputs_Assumptions!$B$15*($H$8-1)</f>
        <v>221148.3281508</v>
      </c>
      <c r="I882" s="16" t="n">
        <f aca="false">G882+H882</f>
        <v>241028.141500356</v>
      </c>
    </row>
    <row r="883" customFormat="false" ht="15" hidden="false" customHeight="true" outlineLevel="0" collapsed="false">
      <c r="A883" s="4" t="s">
        <v>304</v>
      </c>
      <c r="B883" s="4" t="n">
        <v>273</v>
      </c>
      <c r="C883" s="24" t="n">
        <f aca="true">RAND()</f>
        <v>0.749509351747931</v>
      </c>
      <c r="D883" s="25" t="n">
        <f aca="false">IF(C883&lt;(($C$8-$B$8)/($D$8-$B$8)),$B$8+SQRT(C883*($D$8-$B$8)*($C$8-$B$8)),$D$8-SQRT((1-C883)*($D$8-$B$8)*($D$8-$C$8)))</f>
        <v>11.523477704717</v>
      </c>
      <c r="E883" s="26" t="n">
        <f aca="true">MAX(0,$E$8+$F$8*_xlfn.NORM.S.INV(RAND()))</f>
        <v>0</v>
      </c>
      <c r="F883" s="27" t="n">
        <f aca="false">1/(1+EXP(-03_Inputs_Assumptions!$B$14*(E883-03_Inputs_Assumptions!$B$5)))</f>
        <v>0.0052201256935584</v>
      </c>
      <c r="G883" s="28" t="n">
        <f aca="false">D883*04_Baseline_PnL!$B$15*F883*04_Baseline_PnL!$B$14</f>
        <v>17201.0123432463</v>
      </c>
      <c r="H883" s="28" t="n">
        <f aca="false">D883*03_Inputs_Assumptions!$B$13*01_Macro_Data!$B$97*($G$8-1)+D883*04_Baseline_PnL!$B$15*04_Baseline_PnL!$B$13*03_Inputs_Assumptions!$B$15*($H$8-1)</f>
        <v>207933.736034264</v>
      </c>
      <c r="I883" s="16" t="n">
        <f aca="false">G883+H883</f>
        <v>225134.748377511</v>
      </c>
    </row>
    <row r="884" customFormat="false" ht="15" hidden="false" customHeight="true" outlineLevel="0" collapsed="false">
      <c r="A884" s="4" t="s">
        <v>304</v>
      </c>
      <c r="B884" s="4" t="n">
        <v>274</v>
      </c>
      <c r="C884" s="24" t="n">
        <f aca="true">RAND()</f>
        <v>0.573453211108361</v>
      </c>
      <c r="D884" s="25" t="n">
        <f aca="false">IF(C884&lt;(($C$8-$B$8)/($D$8-$B$8)),$B$8+SQRT(C884*($D$8-$B$8)*($C$8-$B$8)),$D$8-SQRT((1-C884)*($D$8-$B$8)*($D$8-$C$8)))</f>
        <v>10.1584468579554</v>
      </c>
      <c r="E884" s="26" t="n">
        <f aca="true">MAX(0,$E$8+$F$8*_xlfn.NORM.S.INV(RAND()))</f>
        <v>0</v>
      </c>
      <c r="F884" s="27" t="n">
        <f aca="false">1/(1+EXP(-03_Inputs_Assumptions!$B$14*(E884-03_Inputs_Assumptions!$B$5)))</f>
        <v>0.0052201256935584</v>
      </c>
      <c r="G884" s="28" t="n">
        <f aca="false">D884*04_Baseline_PnL!$B$15*F884*04_Baseline_PnL!$B$14</f>
        <v>15163.4406096327</v>
      </c>
      <c r="H884" s="28" t="n">
        <f aca="false">D884*03_Inputs_Assumptions!$B$13*01_Macro_Data!$B$97*($G$8-1)+D884*04_Baseline_PnL!$B$15*04_Baseline_PnL!$B$13*03_Inputs_Assumptions!$B$15*($H$8-1)</f>
        <v>183302.633250686</v>
      </c>
      <c r="I884" s="16" t="n">
        <f aca="false">G884+H884</f>
        <v>198466.073860319</v>
      </c>
    </row>
    <row r="885" customFormat="false" ht="15" hidden="false" customHeight="true" outlineLevel="0" collapsed="false">
      <c r="A885" s="4" t="s">
        <v>304</v>
      </c>
      <c r="B885" s="4" t="n">
        <v>275</v>
      </c>
      <c r="C885" s="24" t="n">
        <f aca="true">RAND()</f>
        <v>0.313960100089156</v>
      </c>
      <c r="D885" s="25" t="n">
        <f aca="false">IF(C885&lt;(($C$8-$B$8)/($D$8-$B$8)),$B$8+SQRT(C885*($D$8-$B$8)*($C$8-$B$8)),$D$8-SQRT((1-C885)*($D$8-$B$8)*($D$8-$C$8)))</f>
        <v>8.59168089288349</v>
      </c>
      <c r="E885" s="26" t="n">
        <f aca="true">MAX(0,$E$8+$F$8*_xlfn.NORM.S.INV(RAND()))</f>
        <v>0.121006265560121</v>
      </c>
      <c r="F885" s="27" t="n">
        <f aca="false">1/(1+EXP(-03_Inputs_Assumptions!$B$14*(E885-03_Inputs_Assumptions!$B$5)))</f>
        <v>0.00537959305084114</v>
      </c>
      <c r="G885" s="28" t="n">
        <f aca="false">D885*04_Baseline_PnL!$B$15*F885*04_Baseline_PnL!$B$14</f>
        <v>13216.5177482414</v>
      </c>
      <c r="H885" s="28" t="n">
        <f aca="false">D885*03_Inputs_Assumptions!$B$13*01_Macro_Data!$B$97*($G$8-1)+D885*04_Baseline_PnL!$B$15*04_Baseline_PnL!$B$13*03_Inputs_Assumptions!$B$15*($H$8-1)</f>
        <v>155031.350140087</v>
      </c>
      <c r="I885" s="16" t="n">
        <f aca="false">G885+H885</f>
        <v>168247.867888328</v>
      </c>
    </row>
    <row r="886" customFormat="false" ht="15" hidden="false" customHeight="true" outlineLevel="0" collapsed="false">
      <c r="A886" s="4" t="s">
        <v>304</v>
      </c>
      <c r="B886" s="4" t="n">
        <v>276</v>
      </c>
      <c r="C886" s="24" t="n">
        <f aca="true">RAND()</f>
        <v>0.434621569565342</v>
      </c>
      <c r="D886" s="25" t="n">
        <f aca="false">IF(C886&lt;(($C$8-$B$8)/($D$8-$B$8)),$B$8+SQRT(C886*($D$8-$B$8)*($C$8-$B$8)),$D$8-SQRT((1-C886)*($D$8-$B$8)*($D$8-$C$8)))</f>
        <v>9.27465432600133</v>
      </c>
      <c r="E886" s="26" t="n">
        <f aca="true">MAX(0,$E$8+$F$8*_xlfn.NORM.S.INV(RAND()))</f>
        <v>0.0905845630653813</v>
      </c>
      <c r="F886" s="27" t="n">
        <f aca="false">1/(1+EXP(-03_Inputs_Assumptions!$B$14*(E886-03_Inputs_Assumptions!$B$5)))</f>
        <v>0.00533905176077774</v>
      </c>
      <c r="G886" s="28" t="n">
        <f aca="false">D886*04_Baseline_PnL!$B$15*F886*04_Baseline_PnL!$B$14</f>
        <v>14159.611724505</v>
      </c>
      <c r="H886" s="28" t="n">
        <f aca="false">D886*03_Inputs_Assumptions!$B$13*01_Macro_Data!$B$97*($G$8-1)+D886*04_Baseline_PnL!$B$15*04_Baseline_PnL!$B$13*03_Inputs_Assumptions!$B$15*($H$8-1)</f>
        <v>167355.166022701</v>
      </c>
      <c r="I886" s="16" t="n">
        <f aca="false">G886+H886</f>
        <v>181514.777747206</v>
      </c>
    </row>
    <row r="887" customFormat="false" ht="15" hidden="false" customHeight="true" outlineLevel="0" collapsed="false">
      <c r="A887" s="4" t="s">
        <v>304</v>
      </c>
      <c r="B887" s="4" t="n">
        <v>277</v>
      </c>
      <c r="C887" s="24" t="n">
        <f aca="true">RAND()</f>
        <v>0.325525439990235</v>
      </c>
      <c r="D887" s="25" t="n">
        <f aca="false">IF(C887&lt;(($C$8-$B$8)/($D$8-$B$8)),$B$8+SQRT(C887*($D$8-$B$8)*($C$8-$B$8)),$D$8-SQRT((1-C887)*($D$8-$B$8)*($D$8-$C$8)))</f>
        <v>8.65439146150701</v>
      </c>
      <c r="E887" s="26" t="n">
        <f aca="true">MAX(0,$E$8+$F$8*_xlfn.NORM.S.INV(RAND()))</f>
        <v>0</v>
      </c>
      <c r="F887" s="27" t="n">
        <f aca="false">1/(1+EXP(-03_Inputs_Assumptions!$B$14*(E887-03_Inputs_Assumptions!$B$5)))</f>
        <v>0.0052201256935584</v>
      </c>
      <c r="G887" s="28" t="n">
        <f aca="false">D887*04_Baseline_PnL!$B$15*F887*04_Baseline_PnL!$B$14</f>
        <v>12918.3479299597</v>
      </c>
      <c r="H887" s="28" t="n">
        <f aca="false">D887*03_Inputs_Assumptions!$B$13*01_Macro_Data!$B$97*($G$8-1)+D887*04_Baseline_PnL!$B$15*04_Baseline_PnL!$B$13*03_Inputs_Assumptions!$B$15*($H$8-1)</f>
        <v>156162.921976025</v>
      </c>
      <c r="I887" s="16" t="n">
        <f aca="false">G887+H887</f>
        <v>169081.269905985</v>
      </c>
    </row>
    <row r="888" customFormat="false" ht="15" hidden="false" customHeight="true" outlineLevel="0" collapsed="false">
      <c r="A888" s="4" t="s">
        <v>304</v>
      </c>
      <c r="B888" s="4" t="n">
        <v>278</v>
      </c>
      <c r="C888" s="24" t="n">
        <f aca="true">RAND()</f>
        <v>0.70999169757725</v>
      </c>
      <c r="D888" s="25" t="n">
        <f aca="false">IF(C888&lt;(($C$8-$B$8)/($D$8-$B$8)),$B$8+SQRT(C888*($D$8-$B$8)*($C$8-$B$8)),$D$8-SQRT((1-C888)*($D$8-$B$8)*($D$8-$C$8)))</f>
        <v>11.1832932211084</v>
      </c>
      <c r="E888" s="26" t="n">
        <f aca="true">MAX(0,$E$8+$F$8*_xlfn.NORM.S.INV(RAND()))</f>
        <v>0.300413913382841</v>
      </c>
      <c r="F888" s="27" t="n">
        <f aca="false">1/(1+EXP(-03_Inputs_Assumptions!$B$14*(E888-03_Inputs_Assumptions!$B$5)))</f>
        <v>0.00562498282476188</v>
      </c>
      <c r="G888" s="28" t="n">
        <f aca="false">D888*04_Baseline_PnL!$B$15*F888*04_Baseline_PnL!$B$14</f>
        <v>17987.8970798166</v>
      </c>
      <c r="H888" s="28" t="n">
        <f aca="false">D888*03_Inputs_Assumptions!$B$13*01_Macro_Data!$B$97*($G$8-1)+D888*04_Baseline_PnL!$B$15*04_Baseline_PnL!$B$13*03_Inputs_Assumptions!$B$15*($H$8-1)</f>
        <v>201795.326048131</v>
      </c>
      <c r="I888" s="16" t="n">
        <f aca="false">G888+H888</f>
        <v>219783.223127947</v>
      </c>
    </row>
    <row r="889" customFormat="false" ht="15" hidden="false" customHeight="true" outlineLevel="0" collapsed="false">
      <c r="A889" s="4" t="s">
        <v>304</v>
      </c>
      <c r="B889" s="4" t="n">
        <v>279</v>
      </c>
      <c r="C889" s="24" t="n">
        <f aca="true">RAND()</f>
        <v>0.941362214108002</v>
      </c>
      <c r="D889" s="25" t="n">
        <f aca="false">IF(C889&lt;(($C$8-$B$8)/($D$8-$B$8)),$B$8+SQRT(C889*($D$8-$B$8)*($C$8-$B$8)),$D$8-SQRT((1-C889)*($D$8-$B$8)*($D$8-$C$8)))</f>
        <v>13.8341230710495</v>
      </c>
      <c r="E889" s="26" t="n">
        <f aca="true">MAX(0,$E$8+$F$8*_xlfn.NORM.S.INV(RAND()))</f>
        <v>0.720721362452318</v>
      </c>
      <c r="F889" s="27" t="n">
        <f aca="false">1/(1+EXP(-03_Inputs_Assumptions!$B$14*(E889-03_Inputs_Assumptions!$B$5)))</f>
        <v>0.00624431672203196</v>
      </c>
      <c r="G889" s="28" t="n">
        <f aca="false">D889*04_Baseline_PnL!$B$15*F889*04_Baseline_PnL!$B$14</f>
        <v>24701.6542882043</v>
      </c>
      <c r="H889" s="28" t="n">
        <f aca="false">D889*03_Inputs_Assumptions!$B$13*01_Macro_Data!$B$97*($G$8-1)+D889*04_Baseline_PnL!$B$15*04_Baseline_PnL!$B$13*03_Inputs_Assumptions!$B$15*($H$8-1)</f>
        <v>249627.844009594</v>
      </c>
      <c r="I889" s="16" t="n">
        <f aca="false">G889+H889</f>
        <v>274329.498297799</v>
      </c>
    </row>
    <row r="890" customFormat="false" ht="15" hidden="false" customHeight="true" outlineLevel="0" collapsed="false">
      <c r="A890" s="4" t="s">
        <v>304</v>
      </c>
      <c r="B890" s="4" t="n">
        <v>280</v>
      </c>
      <c r="C890" s="24" t="n">
        <f aca="true">RAND()</f>
        <v>0.0916080863052708</v>
      </c>
      <c r="D890" s="25" t="n">
        <f aca="false">IF(C890&lt;(($C$8-$B$8)/($D$8-$B$8)),$B$8+SQRT(C890*($D$8-$B$8)*($C$8-$B$8)),$D$8-SQRT((1-C890)*($D$8-$B$8)*($D$8-$C$8)))</f>
        <v>7.35357368698768</v>
      </c>
      <c r="E890" s="26" t="n">
        <f aca="true">MAX(0,$E$8+$F$8*_xlfn.NORM.S.INV(RAND()))</f>
        <v>0.116000520269412</v>
      </c>
      <c r="F890" s="27" t="n">
        <f aca="false">1/(1+EXP(-03_Inputs_Assumptions!$B$14*(E890-03_Inputs_Assumptions!$B$5)))</f>
        <v>0.00537290119232973</v>
      </c>
      <c r="G890" s="28" t="n">
        <f aca="false">D890*04_Baseline_PnL!$B$15*F890*04_Baseline_PnL!$B$14</f>
        <v>11297.8754810085</v>
      </c>
      <c r="H890" s="28" t="n">
        <f aca="false">D890*03_Inputs_Assumptions!$B$13*01_Macro_Data!$B$97*($G$8-1)+D890*04_Baseline_PnL!$B$15*04_Baseline_PnL!$B$13*03_Inputs_Assumptions!$B$15*($H$8-1)</f>
        <v>132690.502738831</v>
      </c>
      <c r="I890" s="16" t="n">
        <f aca="false">G890+H890</f>
        <v>143988.378219839</v>
      </c>
    </row>
    <row r="891" customFormat="false" ht="15" hidden="false" customHeight="true" outlineLevel="0" collapsed="false">
      <c r="A891" s="4" t="s">
        <v>304</v>
      </c>
      <c r="B891" s="4" t="n">
        <v>281</v>
      </c>
      <c r="C891" s="24" t="n">
        <f aca="true">RAND()</f>
        <v>0.991905599975513</v>
      </c>
      <c r="D891" s="25" t="n">
        <f aca="false">IF(C891&lt;(($C$8-$B$8)/($D$8-$B$8)),$B$8+SQRT(C891*($D$8-$B$8)*($C$8-$B$8)),$D$8-SQRT((1-C891)*($D$8-$B$8)*($D$8-$C$8)))</f>
        <v>15.1952938412321</v>
      </c>
      <c r="E891" s="26" t="n">
        <f aca="true">MAX(0,$E$8+$F$8*_xlfn.NORM.S.INV(RAND()))</f>
        <v>1.09767593388735</v>
      </c>
      <c r="F891" s="27" t="n">
        <f aca="false">1/(1+EXP(-03_Inputs_Assumptions!$B$14*(E891-03_Inputs_Assumptions!$B$5)))</f>
        <v>0.00685716083254694</v>
      </c>
      <c r="G891" s="28" t="n">
        <f aca="false">D891*04_Baseline_PnL!$B$15*F891*04_Baseline_PnL!$B$14</f>
        <v>29794.9677585149</v>
      </c>
      <c r="H891" s="28" t="n">
        <f aca="false">D891*03_Inputs_Assumptions!$B$13*01_Macro_Data!$B$97*($G$8-1)+D891*04_Baseline_PnL!$B$15*04_Baseline_PnL!$B$13*03_Inputs_Assumptions!$B$15*($H$8-1)</f>
        <v>274189.294196532</v>
      </c>
      <c r="I891" s="16" t="n">
        <f aca="false">G891+H891</f>
        <v>303984.261955047</v>
      </c>
    </row>
    <row r="892" customFormat="false" ht="15" hidden="false" customHeight="true" outlineLevel="0" collapsed="false">
      <c r="A892" s="4" t="s">
        <v>304</v>
      </c>
      <c r="B892" s="4" t="n">
        <v>282</v>
      </c>
      <c r="C892" s="24" t="n">
        <f aca="true">RAND()</f>
        <v>0.498238343129002</v>
      </c>
      <c r="D892" s="25" t="n">
        <f aca="false">IF(C892&lt;(($C$8-$B$8)/($D$8-$B$8)),$B$8+SQRT(C892*($D$8-$B$8)*($C$8-$B$8)),$D$8-SQRT((1-C892)*($D$8-$B$8)*($D$8-$C$8)))</f>
        <v>9.66431277999932</v>
      </c>
      <c r="E892" s="26" t="n">
        <f aca="true">MAX(0,$E$8+$F$8*_xlfn.NORM.S.INV(RAND()))</f>
        <v>0</v>
      </c>
      <c r="F892" s="27" t="n">
        <f aca="false">1/(1+EXP(-03_Inputs_Assumptions!$B$14*(E892-03_Inputs_Assumptions!$B$5)))</f>
        <v>0.0052201256935584</v>
      </c>
      <c r="G892" s="28" t="n">
        <f aca="false">D892*04_Baseline_PnL!$B$15*F892*04_Baseline_PnL!$B$14</f>
        <v>14425.8502231245</v>
      </c>
      <c r="H892" s="28" t="n">
        <f aca="false">D892*03_Inputs_Assumptions!$B$13*01_Macro_Data!$B$97*($G$8-1)+D892*04_Baseline_PnL!$B$15*04_Baseline_PnL!$B$13*03_Inputs_Assumptions!$B$15*($H$8-1)</f>
        <v>174386.301951742</v>
      </c>
      <c r="I892" s="16" t="n">
        <f aca="false">G892+H892</f>
        <v>188812.152174866</v>
      </c>
    </row>
    <row r="893" customFormat="false" ht="15" hidden="false" customHeight="true" outlineLevel="0" collapsed="false">
      <c r="A893" s="4" t="s">
        <v>304</v>
      </c>
      <c r="B893" s="4" t="n">
        <v>283</v>
      </c>
      <c r="C893" s="24" t="n">
        <f aca="true">RAND()</f>
        <v>0.60453503588009</v>
      </c>
      <c r="D893" s="25" t="n">
        <f aca="false">IF(C893&lt;(($C$8-$B$8)/($D$8-$B$8)),$B$8+SQRT(C893*($D$8-$B$8)*($C$8-$B$8)),$D$8-SQRT((1-C893)*($D$8-$B$8)*($D$8-$C$8)))</f>
        <v>10.3753047078448</v>
      </c>
      <c r="E893" s="26" t="n">
        <f aca="true">MAX(0,$E$8+$F$8*_xlfn.NORM.S.INV(RAND()))</f>
        <v>0</v>
      </c>
      <c r="F893" s="27" t="n">
        <f aca="false">1/(1+EXP(-03_Inputs_Assumptions!$B$14*(E893-03_Inputs_Assumptions!$B$5)))</f>
        <v>0.0052201256935584</v>
      </c>
      <c r="G893" s="28" t="n">
        <f aca="false">D893*04_Baseline_PnL!$B$15*F893*04_Baseline_PnL!$B$14</f>
        <v>15487.1427634669</v>
      </c>
      <c r="H893" s="28" t="n">
        <f aca="false">D893*03_Inputs_Assumptions!$B$13*01_Macro_Data!$B$97*($G$8-1)+D893*04_Baseline_PnL!$B$15*04_Baseline_PnL!$B$13*03_Inputs_Assumptions!$B$15*($H$8-1)</f>
        <v>187215.693532601</v>
      </c>
      <c r="I893" s="16" t="n">
        <f aca="false">G893+H893</f>
        <v>202702.836296068</v>
      </c>
    </row>
    <row r="894" customFormat="false" ht="15" hidden="false" customHeight="true" outlineLevel="0" collapsed="false">
      <c r="A894" s="4" t="s">
        <v>304</v>
      </c>
      <c r="B894" s="4" t="n">
        <v>284</v>
      </c>
      <c r="C894" s="24" t="n">
        <f aca="true">RAND()</f>
        <v>0.990092304697429</v>
      </c>
      <c r="D894" s="25" t="n">
        <f aca="false">IF(C894&lt;(($C$8-$B$8)/($D$8-$B$8)),$B$8+SQRT(C894*($D$8-$B$8)*($C$8-$B$8)),$D$8-SQRT((1-C894)*($D$8-$B$8)*($D$8-$C$8)))</f>
        <v>15.1097103706065</v>
      </c>
      <c r="E894" s="26" t="n">
        <f aca="true">MAX(0,$E$8+$F$8*_xlfn.NORM.S.INV(RAND()))</f>
        <v>0.0811394012134549</v>
      </c>
      <c r="F894" s="27" t="n">
        <f aca="false">1/(1+EXP(-03_Inputs_Assumptions!$B$14*(E894-03_Inputs_Assumptions!$B$5)))</f>
        <v>0.00532652665409933</v>
      </c>
      <c r="G894" s="28" t="n">
        <f aca="false">D894*04_Baseline_PnL!$B$15*F894*04_Baseline_PnL!$B$14</f>
        <v>23013.8737081086</v>
      </c>
      <c r="H894" s="28" t="n">
        <f aca="false">D894*03_Inputs_Assumptions!$B$13*01_Macro_Data!$B$97*($G$8-1)+D894*04_Baseline_PnL!$B$15*04_Baseline_PnL!$B$13*03_Inputs_Assumptions!$B$15*($H$8-1)</f>
        <v>272644.9955702</v>
      </c>
      <c r="I894" s="16" t="n">
        <f aca="false">G894+H894</f>
        <v>295658.869278309</v>
      </c>
    </row>
    <row r="895" customFormat="false" ht="15" hidden="false" customHeight="true" outlineLevel="0" collapsed="false">
      <c r="A895" s="4" t="s">
        <v>304</v>
      </c>
      <c r="B895" s="4" t="n">
        <v>285</v>
      </c>
      <c r="C895" s="24" t="n">
        <f aca="true">RAND()</f>
        <v>0.895849643058991</v>
      </c>
      <c r="D895" s="25" t="n">
        <f aca="false">IF(C895&lt;(($C$8-$B$8)/($D$8-$B$8)),$B$8+SQRT(C895*($D$8-$B$8)*($C$8-$B$8)),$D$8-SQRT((1-C895)*($D$8-$B$8)*($D$8-$C$8)))</f>
        <v>13.1134746570867</v>
      </c>
      <c r="E895" s="26" t="n">
        <f aca="true">MAX(0,$E$8+$F$8*_xlfn.NORM.S.INV(RAND()))</f>
        <v>0.694021893804194</v>
      </c>
      <c r="F895" s="27" t="n">
        <f aca="false">1/(1+EXP(-03_Inputs_Assumptions!$B$14*(E895-03_Inputs_Assumptions!$B$5)))</f>
        <v>0.00620303321396813</v>
      </c>
      <c r="G895" s="28" t="n">
        <f aca="false">D895*04_Baseline_PnL!$B$15*F895*04_Baseline_PnL!$B$14</f>
        <v>23260.0888382011</v>
      </c>
      <c r="H895" s="28" t="n">
        <f aca="false">D895*03_Inputs_Assumptions!$B$13*01_Macro_Data!$B$97*($G$8-1)+D895*04_Baseline_PnL!$B$15*04_Baseline_PnL!$B$13*03_Inputs_Assumptions!$B$15*($H$8-1)</f>
        <v>236624.207353872</v>
      </c>
      <c r="I895" s="16" t="n">
        <f aca="false">G895+H895</f>
        <v>259884.296192073</v>
      </c>
    </row>
    <row r="896" customFormat="false" ht="15" hidden="false" customHeight="true" outlineLevel="0" collapsed="false">
      <c r="A896" s="4" t="s">
        <v>304</v>
      </c>
      <c r="B896" s="4" t="n">
        <v>286</v>
      </c>
      <c r="C896" s="24" t="n">
        <f aca="true">RAND()</f>
        <v>0.42966021110727</v>
      </c>
      <c r="D896" s="25" t="n">
        <f aca="false">IF(C896&lt;(($C$8-$B$8)/($D$8-$B$8)),$B$8+SQRT(C896*($D$8-$B$8)*($C$8-$B$8)),$D$8-SQRT((1-C896)*($D$8-$B$8)*($D$8-$C$8)))</f>
        <v>9.24521035772257</v>
      </c>
      <c r="E896" s="26" t="n">
        <f aca="true">MAX(0,$E$8+$F$8*_xlfn.NORM.S.INV(RAND()))</f>
        <v>0.588809314364401</v>
      </c>
      <c r="F896" s="27" t="n">
        <f aca="false">1/(1+EXP(-03_Inputs_Assumptions!$B$14*(E896-03_Inputs_Assumptions!$B$5)))</f>
        <v>0.00604297415641578</v>
      </c>
      <c r="G896" s="28" t="n">
        <f aca="false">D896*04_Baseline_PnL!$B$15*F896*04_Baseline_PnL!$B$14</f>
        <v>15975.5940153665</v>
      </c>
      <c r="H896" s="28" t="n">
        <f aca="false">D896*03_Inputs_Assumptions!$B$13*01_Macro_Data!$B$97*($G$8-1)+D896*04_Baseline_PnL!$B$15*04_Baseline_PnL!$B$13*03_Inputs_Assumptions!$B$15*($H$8-1)</f>
        <v>166823.868571987</v>
      </c>
      <c r="I896" s="16" t="n">
        <f aca="false">G896+H896</f>
        <v>182799.462587353</v>
      </c>
    </row>
    <row r="897" customFormat="false" ht="15" hidden="false" customHeight="true" outlineLevel="0" collapsed="false">
      <c r="A897" s="4" t="s">
        <v>304</v>
      </c>
      <c r="B897" s="4" t="n">
        <v>287</v>
      </c>
      <c r="C897" s="24" t="n">
        <f aca="true">RAND()</f>
        <v>0.798110345560179</v>
      </c>
      <c r="D897" s="25" t="n">
        <f aca="false">IF(C897&lt;(($C$8-$B$8)/($D$8-$B$8)),$B$8+SQRT(C897*($D$8-$B$8)*($C$8-$B$8)),$D$8-SQRT((1-C897)*($D$8-$B$8)*($D$8-$C$8)))</f>
        <v>11.9811478809011</v>
      </c>
      <c r="E897" s="26" t="n">
        <f aca="true">MAX(0,$E$8+$F$8*_xlfn.NORM.S.INV(RAND()))</f>
        <v>0</v>
      </c>
      <c r="F897" s="27" t="n">
        <f aca="false">1/(1+EXP(-03_Inputs_Assumptions!$B$14*(E897-03_Inputs_Assumptions!$B$5)))</f>
        <v>0.0052201256935584</v>
      </c>
      <c r="G897" s="28" t="n">
        <f aca="false">D897*04_Baseline_PnL!$B$15*F897*04_Baseline_PnL!$B$14</f>
        <v>17884.1733256688</v>
      </c>
      <c r="H897" s="28" t="n">
        <f aca="false">D897*03_Inputs_Assumptions!$B$13*01_Macro_Data!$B$97*($G$8-1)+D897*04_Baseline_PnL!$B$15*04_Baseline_PnL!$B$13*03_Inputs_Assumptions!$B$15*($H$8-1)</f>
        <v>216192.099702245</v>
      </c>
      <c r="I897" s="16" t="n">
        <f aca="false">G897+H897</f>
        <v>234076.273027913</v>
      </c>
    </row>
    <row r="898" customFormat="false" ht="15" hidden="false" customHeight="true" outlineLevel="0" collapsed="false">
      <c r="A898" s="4" t="s">
        <v>304</v>
      </c>
      <c r="B898" s="4" t="n">
        <v>288</v>
      </c>
      <c r="C898" s="24" t="n">
        <f aca="true">RAND()</f>
        <v>0.830844041391217</v>
      </c>
      <c r="D898" s="25" t="n">
        <f aca="false">IF(C898&lt;(($C$8-$B$8)/($D$8-$B$8)),$B$8+SQRT(C898*($D$8-$B$8)*($C$8-$B$8)),$D$8-SQRT((1-C898)*($D$8-$B$8)*($D$8-$C$8)))</f>
        <v>12.3213485230723</v>
      </c>
      <c r="E898" s="26" t="n">
        <f aca="true">MAX(0,$E$8+$F$8*_xlfn.NORM.S.INV(RAND()))</f>
        <v>0.0343517765598626</v>
      </c>
      <c r="F898" s="27" t="n">
        <f aca="false">1/(1+EXP(-03_Inputs_Assumptions!$B$14*(E898-03_Inputs_Assumptions!$B$5)))</f>
        <v>0.00526491184988767</v>
      </c>
      <c r="G898" s="28" t="n">
        <f aca="false">D898*04_Baseline_PnL!$B$15*F898*04_Baseline_PnL!$B$14</f>
        <v>18549.7827531388</v>
      </c>
      <c r="H898" s="28" t="n">
        <f aca="false">D898*03_Inputs_Assumptions!$B$13*01_Macro_Data!$B$97*($G$8-1)+D898*04_Baseline_PnL!$B$15*04_Baseline_PnL!$B$13*03_Inputs_Assumptions!$B$15*($H$8-1)</f>
        <v>222330.801259236</v>
      </c>
      <c r="I898" s="16" t="n">
        <f aca="false">G898+H898</f>
        <v>240880.584012375</v>
      </c>
    </row>
    <row r="899" customFormat="false" ht="15" hidden="false" customHeight="true" outlineLevel="0" collapsed="false">
      <c r="A899" s="4" t="s">
        <v>304</v>
      </c>
      <c r="B899" s="4" t="n">
        <v>289</v>
      </c>
      <c r="C899" s="24" t="n">
        <f aca="true">RAND()</f>
        <v>0.101803708464063</v>
      </c>
      <c r="D899" s="25" t="n">
        <f aca="false">IF(C899&lt;(($C$8-$B$8)/($D$8-$B$8)),$B$8+SQRT(C899*($D$8-$B$8)*($C$8-$B$8)),$D$8-SQRT((1-C899)*($D$8-$B$8)*($D$8-$C$8)))</f>
        <v>7.42691070823695</v>
      </c>
      <c r="E899" s="26" t="n">
        <f aca="true">MAX(0,$E$8+$F$8*_xlfn.NORM.S.INV(RAND()))</f>
        <v>0.643384169811358</v>
      </c>
      <c r="F899" s="27" t="n">
        <f aca="false">1/(1+EXP(-03_Inputs_Assumptions!$B$14*(E899-03_Inputs_Assumptions!$B$5)))</f>
        <v>0.00612547928776419</v>
      </c>
      <c r="G899" s="28" t="n">
        <f aca="false">D899*04_Baseline_PnL!$B$15*F899*04_Baseline_PnL!$B$14</f>
        <v>13008.8156567855</v>
      </c>
      <c r="H899" s="28" t="n">
        <f aca="false">D899*03_Inputs_Assumptions!$B$13*01_Macro_Data!$B$97*($G$8-1)+D899*04_Baseline_PnL!$B$15*04_Baseline_PnL!$B$13*03_Inputs_Assumptions!$B$15*($H$8-1)</f>
        <v>134013.822070784</v>
      </c>
      <c r="I899" s="16" t="n">
        <f aca="false">G899+H899</f>
        <v>147022.637727569</v>
      </c>
    </row>
    <row r="900" customFormat="false" ht="15" hidden="false" customHeight="true" outlineLevel="0" collapsed="false">
      <c r="A900" s="4" t="s">
        <v>304</v>
      </c>
      <c r="B900" s="4" t="n">
        <v>290</v>
      </c>
      <c r="C900" s="24" t="n">
        <f aca="true">RAND()</f>
        <v>0.662988260603071</v>
      </c>
      <c r="D900" s="25" t="n">
        <f aca="false">IF(C900&lt;(($C$8-$B$8)/($D$8-$B$8)),$B$8+SQRT(C900*($D$8-$B$8)*($C$8-$B$8)),$D$8-SQRT((1-C900)*($D$8-$B$8)*($D$8-$C$8)))</f>
        <v>10.8076075695539</v>
      </c>
      <c r="E900" s="26" t="n">
        <f aca="true">MAX(0,$E$8+$F$8*_xlfn.NORM.S.INV(RAND()))</f>
        <v>0</v>
      </c>
      <c r="F900" s="27" t="n">
        <f aca="false">1/(1+EXP(-03_Inputs_Assumptions!$B$14*(E900-03_Inputs_Assumptions!$B$5)))</f>
        <v>0.0052201256935584</v>
      </c>
      <c r="G900" s="28" t="n">
        <f aca="false">D900*04_Baseline_PnL!$B$15*F900*04_Baseline_PnL!$B$14</f>
        <v>16132.4381379036</v>
      </c>
      <c r="H900" s="28" t="n">
        <f aca="false">D900*03_Inputs_Assumptions!$B$13*01_Macro_Data!$B$97*($G$8-1)+D900*04_Baseline_PnL!$B$15*04_Baseline_PnL!$B$13*03_Inputs_Assumptions!$B$15*($H$8-1)</f>
        <v>195016.320343088</v>
      </c>
      <c r="I900" s="16" t="n">
        <f aca="false">G900+H900</f>
        <v>211148.758480992</v>
      </c>
    </row>
    <row r="901" customFormat="false" ht="15" hidden="false" customHeight="true" outlineLevel="0" collapsed="false">
      <c r="A901" s="4" t="s">
        <v>304</v>
      </c>
      <c r="B901" s="4" t="n">
        <v>291</v>
      </c>
      <c r="C901" s="24" t="n">
        <f aca="true">RAND()</f>
        <v>0.985791857898929</v>
      </c>
      <c r="D901" s="25" t="n">
        <f aca="false">IF(C901&lt;(($C$8-$B$8)/($D$8-$B$8)),$B$8+SQRT(C901*($D$8-$B$8)*($C$8-$B$8)),$D$8-SQRT((1-C901)*($D$8-$B$8)*($D$8-$C$8)))</f>
        <v>14.9338614686235</v>
      </c>
      <c r="E901" s="26" t="n">
        <f aca="true">MAX(0,$E$8+$F$8*_xlfn.NORM.S.INV(RAND()))</f>
        <v>0.495705002350371</v>
      </c>
      <c r="F901" s="27" t="n">
        <f aca="false">1/(1+EXP(-03_Inputs_Assumptions!$B$14*(E901-03_Inputs_Assumptions!$B$5)))</f>
        <v>0.00590476271331579</v>
      </c>
      <c r="G901" s="28" t="n">
        <f aca="false">D901*04_Baseline_PnL!$B$15*F901*04_Baseline_PnL!$B$14</f>
        <v>25215.2947710718</v>
      </c>
      <c r="H901" s="28" t="n">
        <f aca="false">D901*03_Inputs_Assumptions!$B$13*01_Macro_Data!$B$97*($G$8-1)+D901*04_Baseline_PnL!$B$15*04_Baseline_PnL!$B$13*03_Inputs_Assumptions!$B$15*($H$8-1)</f>
        <v>269471.915350513</v>
      </c>
      <c r="I901" s="16" t="n">
        <f aca="false">G901+H901</f>
        <v>294687.210121584</v>
      </c>
    </row>
    <row r="902" customFormat="false" ht="15" hidden="false" customHeight="true" outlineLevel="0" collapsed="false">
      <c r="A902" s="4" t="s">
        <v>304</v>
      </c>
      <c r="B902" s="4" t="n">
        <v>292</v>
      </c>
      <c r="C902" s="24" t="n">
        <f aca="true">RAND()</f>
        <v>0.71960040009081</v>
      </c>
      <c r="D902" s="25" t="n">
        <f aca="false">IF(C902&lt;(($C$8-$B$8)/($D$8-$B$8)),$B$8+SQRT(C902*($D$8-$B$8)*($C$8-$B$8)),$D$8-SQRT((1-C902)*($D$8-$B$8)*($D$8-$C$8)))</f>
        <v>11.263760141976</v>
      </c>
      <c r="E902" s="26" t="n">
        <f aca="true">MAX(0,$E$8+$F$8*_xlfn.NORM.S.INV(RAND()))</f>
        <v>0</v>
      </c>
      <c r="F902" s="27" t="n">
        <f aca="false">1/(1+EXP(-03_Inputs_Assumptions!$B$14*(E902-03_Inputs_Assumptions!$B$5)))</f>
        <v>0.0052201256935584</v>
      </c>
      <c r="G902" s="28" t="n">
        <f aca="false">D902*04_Baseline_PnL!$B$15*F902*04_Baseline_PnL!$B$14</f>
        <v>16813.3338040986</v>
      </c>
      <c r="H902" s="28" t="n">
        <f aca="false">D902*03_Inputs_Assumptions!$B$13*01_Macro_Data!$B$97*($G$8-1)+D902*04_Baseline_PnL!$B$15*04_Baseline_PnL!$B$13*03_Inputs_Assumptions!$B$15*($H$8-1)</f>
        <v>203247.299828261</v>
      </c>
      <c r="I902" s="16" t="n">
        <f aca="false">G902+H902</f>
        <v>220060.63363236</v>
      </c>
    </row>
    <row r="903" customFormat="false" ht="15" hidden="false" customHeight="true" outlineLevel="0" collapsed="false">
      <c r="A903" s="4" t="s">
        <v>304</v>
      </c>
      <c r="B903" s="4" t="n">
        <v>293</v>
      </c>
      <c r="C903" s="24" t="n">
        <f aca="true">RAND()</f>
        <v>0.455659115467225</v>
      </c>
      <c r="D903" s="25" t="n">
        <f aca="false">IF(C903&lt;(($C$8-$B$8)/($D$8-$B$8)),$B$8+SQRT(C903*($D$8-$B$8)*($C$8-$B$8)),$D$8-SQRT((1-C903)*($D$8-$B$8)*($D$8-$C$8)))</f>
        <v>9.40096440662562</v>
      </c>
      <c r="E903" s="26" t="n">
        <f aca="true">MAX(0,$E$8+$F$8*_xlfn.NORM.S.INV(RAND()))</f>
        <v>0</v>
      </c>
      <c r="F903" s="27" t="n">
        <f aca="false">1/(1+EXP(-03_Inputs_Assumptions!$B$14*(E903-03_Inputs_Assumptions!$B$5)))</f>
        <v>0.0052201256935584</v>
      </c>
      <c r="G903" s="28" t="n">
        <f aca="false">D903*04_Baseline_PnL!$B$15*F903*04_Baseline_PnL!$B$14</f>
        <v>14032.7519990423</v>
      </c>
      <c r="H903" s="28" t="n">
        <f aca="false">D903*03_Inputs_Assumptions!$B$13*01_Macro_Data!$B$97*($G$8-1)+D903*04_Baseline_PnL!$B$15*04_Baseline_PnL!$B$13*03_Inputs_Assumptions!$B$15*($H$8-1)</f>
        <v>169634.350105493</v>
      </c>
      <c r="I903" s="16" t="n">
        <f aca="false">G903+H903</f>
        <v>183667.102104535</v>
      </c>
    </row>
    <row r="904" customFormat="false" ht="15" hidden="false" customHeight="true" outlineLevel="0" collapsed="false">
      <c r="A904" s="4" t="s">
        <v>304</v>
      </c>
      <c r="B904" s="4" t="n">
        <v>294</v>
      </c>
      <c r="C904" s="24" t="n">
        <f aca="true">RAND()</f>
        <v>0.491462835280337</v>
      </c>
      <c r="D904" s="25" t="n">
        <f aca="false">IF(C904&lt;(($C$8-$B$8)/($D$8-$B$8)),$B$8+SQRT(C904*($D$8-$B$8)*($C$8-$B$8)),$D$8-SQRT((1-C904)*($D$8-$B$8)*($D$8-$C$8)))</f>
        <v>9.62167943910209</v>
      </c>
      <c r="E904" s="26" t="n">
        <f aca="true">MAX(0,$E$8+$F$8*_xlfn.NORM.S.INV(RAND()))</f>
        <v>0.304172525821735</v>
      </c>
      <c r="F904" s="27" t="n">
        <f aca="false">1/(1+EXP(-03_Inputs_Assumptions!$B$14*(E904-03_Inputs_Assumptions!$B$5)))</f>
        <v>0.00563024106861827</v>
      </c>
      <c r="G904" s="28" t="n">
        <f aca="false">D904*04_Baseline_PnL!$B$15*F904*04_Baseline_PnL!$B$14</f>
        <v>15490.5684519308</v>
      </c>
      <c r="H904" s="28" t="n">
        <f aca="false">D904*03_Inputs_Assumptions!$B$13*01_Macro_Data!$B$97*($G$8-1)+D904*04_Baseline_PnL!$B$15*04_Baseline_PnL!$B$13*03_Inputs_Assumptions!$B$15*($H$8-1)</f>
        <v>173617.010763826</v>
      </c>
      <c r="I904" s="16" t="n">
        <f aca="false">G904+H904</f>
        <v>189107.579215757</v>
      </c>
    </row>
    <row r="905" customFormat="false" ht="15" hidden="false" customHeight="true" outlineLevel="0" collapsed="false">
      <c r="A905" s="4" t="s">
        <v>304</v>
      </c>
      <c r="B905" s="4" t="n">
        <v>295</v>
      </c>
      <c r="C905" s="24" t="n">
        <f aca="true">RAND()</f>
        <v>0.186879648946934</v>
      </c>
      <c r="D905" s="25" t="n">
        <f aca="false">IF(C905&lt;(($C$8-$B$8)/($D$8-$B$8)),$B$8+SQRT(C905*($D$8-$B$8)*($C$8-$B$8)),$D$8-SQRT((1-C905)*($D$8-$B$8)*($D$8-$C$8)))</f>
        <v>7.93328553993938</v>
      </c>
      <c r="E905" s="26" t="n">
        <f aca="true">MAX(0,$E$8+$F$8*_xlfn.NORM.S.INV(RAND()))</f>
        <v>0</v>
      </c>
      <c r="F905" s="27" t="n">
        <f aca="false">1/(1+EXP(-03_Inputs_Assumptions!$B$14*(E905-03_Inputs_Assumptions!$B$5)))</f>
        <v>0.0052201256935584</v>
      </c>
      <c r="G905" s="28" t="n">
        <f aca="false">D905*04_Baseline_PnL!$B$15*F905*04_Baseline_PnL!$B$14</f>
        <v>11841.9583038839</v>
      </c>
      <c r="H905" s="28" t="n">
        <f aca="false">D905*03_Inputs_Assumptions!$B$13*01_Macro_Data!$B$97*($G$8-1)+D905*04_Baseline_PnL!$B$15*04_Baseline_PnL!$B$13*03_Inputs_Assumptions!$B$15*($H$8-1)</f>
        <v>143151.029890131</v>
      </c>
      <c r="I905" s="16" t="n">
        <f aca="false">G905+H905</f>
        <v>154992.988194015</v>
      </c>
    </row>
    <row r="906" customFormat="false" ht="15" hidden="false" customHeight="true" outlineLevel="0" collapsed="false">
      <c r="A906" s="4" t="s">
        <v>304</v>
      </c>
      <c r="B906" s="4" t="n">
        <v>296</v>
      </c>
      <c r="C906" s="24" t="n">
        <f aca="true">RAND()</f>
        <v>0.0954208509372124</v>
      </c>
      <c r="D906" s="25" t="n">
        <f aca="false">IF(C906&lt;(($C$8-$B$8)/($D$8-$B$8)),$B$8+SQRT(C906*($D$8-$B$8)*($C$8-$B$8)),$D$8-SQRT((1-C906)*($D$8-$B$8)*($D$8-$C$8)))</f>
        <v>7.38145467487871</v>
      </c>
      <c r="E906" s="26" t="n">
        <f aca="true">MAX(0,$E$8+$F$8*_xlfn.NORM.S.INV(RAND()))</f>
        <v>0.46094270907764</v>
      </c>
      <c r="F906" s="27" t="n">
        <f aca="false">1/(1+EXP(-03_Inputs_Assumptions!$B$14*(E906-03_Inputs_Assumptions!$B$5)))</f>
        <v>0.00585396837658799</v>
      </c>
      <c r="G906" s="28" t="n">
        <f aca="false">D906*04_Baseline_PnL!$B$15*F906*04_Baseline_PnL!$B$14</f>
        <v>12356.1112713395</v>
      </c>
      <c r="H906" s="28" t="n">
        <f aca="false">D906*03_Inputs_Assumptions!$B$13*01_Macro_Data!$B$97*($G$8-1)+D906*04_Baseline_PnL!$B$15*04_Baseline_PnL!$B$13*03_Inputs_Assumptions!$B$15*($H$8-1)</f>
        <v>133193.59721474</v>
      </c>
      <c r="I906" s="16" t="n">
        <f aca="false">G906+H906</f>
        <v>145549.70848608</v>
      </c>
    </row>
    <row r="907" customFormat="false" ht="15" hidden="false" customHeight="true" outlineLevel="0" collapsed="false">
      <c r="A907" s="4" t="s">
        <v>304</v>
      </c>
      <c r="B907" s="4" t="n">
        <v>297</v>
      </c>
      <c r="C907" s="24" t="n">
        <f aca="true">RAND()</f>
        <v>0.972625571602361</v>
      </c>
      <c r="D907" s="25" t="n">
        <f aca="false">IF(C907&lt;(($C$8-$B$8)/($D$8-$B$8)),$B$8+SQRT(C907*($D$8-$B$8)*($C$8-$B$8)),$D$8-SQRT((1-C907)*($D$8-$B$8)*($D$8-$C$8)))</f>
        <v>14.520150591509</v>
      </c>
      <c r="E907" s="26" t="n">
        <f aca="true">MAX(0,$E$8+$F$8*_xlfn.NORM.S.INV(RAND()))</f>
        <v>0</v>
      </c>
      <c r="F907" s="27" t="n">
        <f aca="false">1/(1+EXP(-03_Inputs_Assumptions!$B$14*(E907-03_Inputs_Assumptions!$B$5)))</f>
        <v>0.0052201256935584</v>
      </c>
      <c r="G907" s="28" t="n">
        <f aca="false">D907*04_Baseline_PnL!$B$15*F907*04_Baseline_PnL!$B$14</f>
        <v>21674.1244223612</v>
      </c>
      <c r="H907" s="28" t="n">
        <f aca="false">D907*03_Inputs_Assumptions!$B$13*01_Macro_Data!$B$97*($G$8-1)+D907*04_Baseline_PnL!$B$15*04_Baseline_PnL!$B$13*03_Inputs_Assumptions!$B$15*($H$8-1)</f>
        <v>262006.768931979</v>
      </c>
      <c r="I907" s="16" t="n">
        <f aca="false">G907+H907</f>
        <v>283680.89335434</v>
      </c>
    </row>
    <row r="908" customFormat="false" ht="15" hidden="false" customHeight="true" outlineLevel="0" collapsed="false">
      <c r="A908" s="4" t="s">
        <v>304</v>
      </c>
      <c r="B908" s="4" t="n">
        <v>298</v>
      </c>
      <c r="C908" s="24" t="n">
        <f aca="true">RAND()</f>
        <v>0.250012500597608</v>
      </c>
      <c r="D908" s="25" t="n">
        <f aca="false">IF(C908&lt;(($C$8-$B$8)/($D$8-$B$8)),$B$8+SQRT(C908*($D$8-$B$8)*($C$8-$B$8)),$D$8-SQRT((1-C908)*($D$8-$B$8)*($D$8-$C$8)))</f>
        <v>8.25409786066262</v>
      </c>
      <c r="E908" s="26" t="n">
        <f aca="true">MAX(0,$E$8+$F$8*_xlfn.NORM.S.INV(RAND()))</f>
        <v>0.252227834912172</v>
      </c>
      <c r="F908" s="27" t="n">
        <f aca="false">1/(1+EXP(-03_Inputs_Assumptions!$B$14*(E908-03_Inputs_Assumptions!$B$5)))</f>
        <v>0.00555800222873423</v>
      </c>
      <c r="G908" s="28" t="n">
        <f aca="false">D908*04_Baseline_PnL!$B$15*F908*04_Baseline_PnL!$B$14</f>
        <v>13118.3076400843</v>
      </c>
      <c r="H908" s="28" t="n">
        <f aca="false">D908*03_Inputs_Assumptions!$B$13*01_Macro_Data!$B$97*($G$8-1)+D908*04_Baseline_PnL!$B$15*04_Baseline_PnL!$B$13*03_Inputs_Assumptions!$B$15*($H$8-1)</f>
        <v>148939.881669355</v>
      </c>
      <c r="I908" s="16" t="n">
        <f aca="false">G908+H908</f>
        <v>162058.18930944</v>
      </c>
    </row>
    <row r="909" customFormat="false" ht="15" hidden="false" customHeight="true" outlineLevel="0" collapsed="false">
      <c r="A909" s="4" t="s">
        <v>304</v>
      </c>
      <c r="B909" s="4" t="n">
        <v>299</v>
      </c>
      <c r="C909" s="24" t="n">
        <f aca="true">RAND()</f>
        <v>0.491732833541474</v>
      </c>
      <c r="D909" s="25" t="n">
        <f aca="false">IF(C909&lt;(($C$8-$B$8)/($D$8-$B$8)),$B$8+SQRT(C909*($D$8-$B$8)*($C$8-$B$8)),$D$8-SQRT((1-C909)*($D$8-$B$8)*($D$8-$C$8)))</f>
        <v>9.62337288869091</v>
      </c>
      <c r="E909" s="26" t="n">
        <f aca="true">MAX(0,$E$8+$F$8*_xlfn.NORM.S.INV(RAND()))</f>
        <v>0.248490824176869</v>
      </c>
      <c r="F909" s="27" t="n">
        <f aca="false">1/(1+EXP(-03_Inputs_Assumptions!$B$14*(E909-03_Inputs_Assumptions!$B$5)))</f>
        <v>0.00555284089516784</v>
      </c>
      <c r="G909" s="28" t="n">
        <f aca="false">D909*04_Baseline_PnL!$B$15*F909*04_Baseline_PnL!$B$14</f>
        <v>15280.3050841524</v>
      </c>
      <c r="H909" s="28" t="n">
        <f aca="false">D909*03_Inputs_Assumptions!$B$13*01_Macro_Data!$B$97*($G$8-1)+D909*04_Baseline_PnL!$B$15*04_Baseline_PnL!$B$13*03_Inputs_Assumptions!$B$15*($H$8-1)</f>
        <v>173647.567971364</v>
      </c>
      <c r="I909" s="16" t="n">
        <f aca="false">G909+H909</f>
        <v>188927.873055517</v>
      </c>
    </row>
    <row r="910" customFormat="false" ht="15" hidden="false" customHeight="true" outlineLevel="0" collapsed="false">
      <c r="A910" s="4" t="s">
        <v>304</v>
      </c>
      <c r="B910" s="4" t="n">
        <v>300</v>
      </c>
      <c r="C910" s="24" t="n">
        <f aca="true">RAND()</f>
        <v>0.977388728770093</v>
      </c>
      <c r="D910" s="25" t="n">
        <f aca="false">IF(C910&lt;(($C$8-$B$8)/($D$8-$B$8)),$B$8+SQRT(C910*($D$8-$B$8)*($C$8-$B$8)),$D$8-SQRT((1-C910)*($D$8-$B$8)*($D$8-$C$8)))</f>
        <v>14.6550458378099</v>
      </c>
      <c r="E910" s="26" t="n">
        <f aca="true">MAX(0,$E$8+$F$8*_xlfn.NORM.S.INV(RAND()))</f>
        <v>0.312914788279697</v>
      </c>
      <c r="F910" s="27" t="n">
        <f aca="false">1/(1+EXP(-03_Inputs_Assumptions!$B$14*(E910-03_Inputs_Assumptions!$B$5)))</f>
        <v>0.00564249027843198</v>
      </c>
      <c r="G910" s="28" t="n">
        <f aca="false">D910*04_Baseline_PnL!$B$15*F910*04_Baseline_PnL!$B$14</f>
        <v>23645.4444655653</v>
      </c>
      <c r="H910" s="28" t="n">
        <f aca="false">D910*03_Inputs_Assumptions!$B$13*01_Macro_Data!$B$97*($G$8-1)+D910*04_Baseline_PnL!$B$15*04_Baseline_PnL!$B$13*03_Inputs_Assumptions!$B$15*($H$8-1)</f>
        <v>264440.866802027</v>
      </c>
      <c r="I910" s="16" t="n">
        <f aca="false">G910+H910</f>
        <v>288086.311267592</v>
      </c>
    </row>
    <row r="912" customFormat="false" ht="15" hidden="false" customHeight="true" outlineLevel="0" collapsed="false">
      <c r="A912" s="17" t="s">
        <v>314</v>
      </c>
    </row>
    <row r="913" customFormat="false" ht="26.25" hidden="false" customHeight="true" outlineLevel="0" collapsed="false">
      <c r="A913" s="6" t="s">
        <v>294</v>
      </c>
      <c r="B913" s="6" t="s">
        <v>315</v>
      </c>
      <c r="C913" s="6" t="s">
        <v>316</v>
      </c>
      <c r="D913" s="6" t="s">
        <v>317</v>
      </c>
      <c r="E913" s="6" t="s">
        <v>318</v>
      </c>
      <c r="F913" s="6" t="s">
        <v>319</v>
      </c>
    </row>
    <row r="914" customFormat="false" ht="15" hidden="false" customHeight="true" outlineLevel="0" collapsed="false">
      <c r="A914" s="4" t="s">
        <v>302</v>
      </c>
      <c r="B914" s="16" t="n">
        <f aca="false">AVERAGE($I$11:$I$310)</f>
        <v>1824052.55512455</v>
      </c>
      <c r="C914" s="16" t="n">
        <f aca="false">_xlfn.PERCENTILE.INC($I$11:$I$310,0.1)</f>
        <v>1024304.55780674</v>
      </c>
      <c r="D914" s="16" t="n">
        <f aca="false">_xlfn.PERCENTILE.INC($I$11:$I$310,0.5)</f>
        <v>1678645.10608631</v>
      </c>
      <c r="E914" s="16" t="n">
        <f aca="false">_xlfn.PERCENTILE.INC($I$11:$I$310,0.9)</f>
        <v>2713668.43568378</v>
      </c>
      <c r="F914" s="16" t="n">
        <f aca="false">_xlfn.PERCENTILE.INC($I$11:$I$310,0.99)</f>
        <v>3951057.44019344</v>
      </c>
    </row>
    <row r="915" customFormat="false" ht="15" hidden="false" customHeight="true" outlineLevel="0" collapsed="false">
      <c r="A915" s="4" t="s">
        <v>303</v>
      </c>
      <c r="B915" s="16" t="n">
        <f aca="false">AVERAGE($I$311:$I$610)</f>
        <v>242712.668624101</v>
      </c>
      <c r="C915" s="16" t="n">
        <f aca="false">_xlfn.PERCENTILE.INC($I$311:$I$610,0.1)</f>
        <v>168505.680535204</v>
      </c>
      <c r="D915" s="16" t="n">
        <f aca="false">_xlfn.PERCENTILE.INC($I$311:$I$610,0.5)</f>
        <v>233979.007951558</v>
      </c>
      <c r="E915" s="16" t="n">
        <f aca="false">_xlfn.PERCENTILE.INC($I$311:$I$610,0.9)</f>
        <v>339070.491096535</v>
      </c>
      <c r="F915" s="16" t="n">
        <f aca="false">_xlfn.PERCENTILE.INC($I$311:$I$610,0.99)</f>
        <v>397350.388168061</v>
      </c>
    </row>
    <row r="916" customFormat="false" ht="15" hidden="false" customHeight="true" outlineLevel="0" collapsed="false">
      <c r="A916" s="4" t="s">
        <v>304</v>
      </c>
      <c r="B916" s="16" t="n">
        <f aca="false">AVERAGE($I$611:$I$910)</f>
        <v>195761.88972268</v>
      </c>
      <c r="C916" s="16" t="n">
        <f aca="false">_xlfn.PERCENTILE.INC($I$611:$I$910,0.1)</f>
        <v>145508.706198506</v>
      </c>
      <c r="D916" s="16" t="n">
        <f aca="false">_xlfn.PERCENTILE.INC($I$611:$I$910,0.5)</f>
        <v>185478.365093774</v>
      </c>
      <c r="E916" s="16" t="n">
        <f aca="false">_xlfn.PERCENTILE.INC($I$611:$I$910,0.9)</f>
        <v>259913.996434579</v>
      </c>
      <c r="F916" s="16" t="n">
        <f aca="false">_xlfn.PERCENTILE.INC($I$611:$I$910,0.99)</f>
        <v>301935.043694274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0"/>
    <col collapsed="false" customWidth="true" hidden="false" outlineLevel="0" max="6" min="3" style="1" width="30"/>
  </cols>
  <sheetData>
    <row r="1" customFormat="false" ht="17.25" hidden="false" customHeight="true" outlineLevel="0" collapsed="false">
      <c r="A1" s="2" t="s">
        <v>320</v>
      </c>
    </row>
    <row r="2" customFormat="false" ht="15" hidden="false" customHeight="true" outlineLevel="0" collapsed="false">
      <c r="A2" s="4" t="s">
        <v>321</v>
      </c>
    </row>
    <row r="4" customFormat="false" ht="26.25" hidden="false" customHeight="true" outlineLevel="0" collapsed="false">
      <c r="A4" s="6" t="s">
        <v>322</v>
      </c>
      <c r="B4" s="6" t="s">
        <v>323</v>
      </c>
      <c r="C4" s="6" t="s">
        <v>324</v>
      </c>
      <c r="D4" s="6" t="s">
        <v>325</v>
      </c>
      <c r="E4" s="6" t="s">
        <v>326</v>
      </c>
      <c r="F4" s="6" t="s">
        <v>327</v>
      </c>
    </row>
    <row r="5" customFormat="false" ht="15" hidden="false" customHeight="true" outlineLevel="0" collapsed="false">
      <c r="A5" s="4" t="s">
        <v>328</v>
      </c>
      <c r="B5" s="29" t="n">
        <v>0.25</v>
      </c>
      <c r="C5" s="30" t="n">
        <v>5</v>
      </c>
      <c r="D5" s="30" t="n">
        <v>3</v>
      </c>
      <c r="E5" s="30" t="n">
        <v>2</v>
      </c>
      <c r="F5" s="30" t="n">
        <v>3</v>
      </c>
    </row>
    <row r="6" customFormat="false" ht="15" hidden="false" customHeight="true" outlineLevel="0" collapsed="false">
      <c r="A6" s="4" t="s">
        <v>329</v>
      </c>
      <c r="B6" s="29" t="n">
        <v>0.3</v>
      </c>
      <c r="C6" s="30" t="n">
        <v>1</v>
      </c>
      <c r="D6" s="30" t="n">
        <v>3</v>
      </c>
      <c r="E6" s="30" t="n">
        <v>5</v>
      </c>
      <c r="F6" s="30" t="n">
        <v>4</v>
      </c>
    </row>
    <row r="7" customFormat="false" ht="15" hidden="false" customHeight="true" outlineLevel="0" collapsed="false">
      <c r="A7" s="4" t="s">
        <v>330</v>
      </c>
      <c r="B7" s="29" t="n">
        <v>0.15</v>
      </c>
      <c r="C7" s="30" t="n">
        <v>5</v>
      </c>
      <c r="D7" s="30" t="n">
        <v>4</v>
      </c>
      <c r="E7" s="30" t="n">
        <v>1</v>
      </c>
      <c r="F7" s="30" t="n">
        <v>5</v>
      </c>
    </row>
    <row r="8" customFormat="false" ht="15" hidden="false" customHeight="true" outlineLevel="0" collapsed="false">
      <c r="A8" s="4" t="s">
        <v>331</v>
      </c>
      <c r="B8" s="29" t="n">
        <v>0.15</v>
      </c>
      <c r="C8" s="30" t="n">
        <v>5</v>
      </c>
      <c r="D8" s="30" t="n">
        <v>2</v>
      </c>
      <c r="E8" s="30" t="n">
        <v>3</v>
      </c>
      <c r="F8" s="30" t="n">
        <v>1</v>
      </c>
    </row>
    <row r="9" customFormat="false" ht="15" hidden="false" customHeight="true" outlineLevel="0" collapsed="false">
      <c r="A9" s="4" t="s">
        <v>332</v>
      </c>
      <c r="B9" s="29" t="n">
        <v>0.1</v>
      </c>
      <c r="C9" s="30" t="n">
        <v>5</v>
      </c>
      <c r="D9" s="30" t="n">
        <v>5</v>
      </c>
      <c r="E9" s="30" t="n">
        <v>3</v>
      </c>
      <c r="F9" s="30" t="n">
        <v>4</v>
      </c>
    </row>
    <row r="10" customFormat="false" ht="15" hidden="false" customHeight="true" outlineLevel="0" collapsed="false">
      <c r="A10" s="4" t="s">
        <v>333</v>
      </c>
      <c r="B10" s="29" t="n">
        <v>0.05</v>
      </c>
      <c r="C10" s="30" t="n">
        <v>1</v>
      </c>
      <c r="D10" s="30" t="n">
        <v>2</v>
      </c>
      <c r="E10" s="30" t="n">
        <v>5</v>
      </c>
      <c r="F10" s="30" t="n">
        <v>3</v>
      </c>
    </row>
    <row r="12" customFormat="false" ht="15" hidden="false" customHeight="true" outlineLevel="0" collapsed="false">
      <c r="A12" s="17" t="s">
        <v>334</v>
      </c>
      <c r="C12" s="31" t="n">
        <f aca="false">SUMPRODUCT(C5:C10,$B$5:$B$10)</f>
        <v>3.6</v>
      </c>
      <c r="D12" s="31" t="n">
        <f aca="false">SUMPRODUCT(D5:D10,$B$5:$B$10)</f>
        <v>3.15</v>
      </c>
      <c r="E12" s="31" t="n">
        <f aca="false">SUMPRODUCT(E5:E10,$B$5:$B$10)</f>
        <v>3.15</v>
      </c>
      <c r="F12" s="31" t="n">
        <f aca="false">SUMPRODUCT(F5:F10,$B$5:$B$10)</f>
        <v>3.4</v>
      </c>
    </row>
    <row r="14" customFormat="false" ht="15" hidden="false" customHeight="true" outlineLevel="0" collapsed="false">
      <c r="A14" s="17" t="s">
        <v>335</v>
      </c>
    </row>
    <row r="15" customFormat="false" ht="15" hidden="false" customHeight="true" outlineLevel="0" collapsed="false">
      <c r="A15" s="32" t="str">
        <f aca="false">"Red Sea scenario — Mean: "&amp;TEXT(06_MonteCarlo_Simulation!B914,"$#,##0")&amp;"  P90: "&amp;TEXT(06_MonteCarlo_Simulation!E914,"$#,##0")&amp;"  P99: "&amp;TEXT(06_MonteCarlo_Simulation!F914,"$#,##0")</f>
        <v>Red Sea scenario — Mean: $1,824,053  P90: $2,713,668  P99: $3,951,057</v>
      </c>
    </row>
    <row r="17" customFormat="false" ht="69.75" hidden="false" customHeight="true" outlineLevel="0" collapsed="false">
      <c r="A17" s="33" t="s">
        <v>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90"/>
  </cols>
  <sheetData>
    <row r="1" customFormat="false" ht="17.25" hidden="false" customHeight="true" outlineLevel="0" collapsed="false">
      <c r="A1" s="2" t="s">
        <v>337</v>
      </c>
    </row>
    <row r="3" customFormat="false" ht="54.75" hidden="false" customHeight="true" outlineLevel="0" collapsed="false">
      <c r="A3" s="34" t="s">
        <v>338</v>
      </c>
      <c r="B3" s="13" t="s">
        <v>339</v>
      </c>
    </row>
    <row r="4" customFormat="false" ht="54.75" hidden="false" customHeight="true" outlineLevel="0" collapsed="false">
      <c r="A4" s="34" t="s">
        <v>340</v>
      </c>
      <c r="B4" s="13" t="s">
        <v>341</v>
      </c>
    </row>
    <row r="5" customFormat="false" ht="54.75" hidden="false" customHeight="true" outlineLevel="0" collapsed="false">
      <c r="A5" s="34" t="s">
        <v>342</v>
      </c>
      <c r="B5" s="13" t="s">
        <v>343</v>
      </c>
    </row>
    <row r="6" customFormat="false" ht="54.75" hidden="false" customHeight="true" outlineLevel="0" collapsed="false">
      <c r="A6" s="34" t="s">
        <v>344</v>
      </c>
      <c r="B6" s="13" t="s">
        <v>345</v>
      </c>
    </row>
    <row r="7" customFormat="false" ht="54.75" hidden="false" customHeight="true" outlineLevel="0" collapsed="false">
      <c r="A7" s="34" t="s">
        <v>346</v>
      </c>
      <c r="B7" s="13" t="s">
        <v>347</v>
      </c>
    </row>
    <row r="8" customFormat="false" ht="54.75" hidden="false" customHeight="true" outlineLevel="0" collapsed="false">
      <c r="A8" s="34" t="s">
        <v>348</v>
      </c>
      <c r="B8" s="13" t="s">
        <v>349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50"/>
    <col collapsed="false" customWidth="true" hidden="false" outlineLevel="0" max="3" min="3" style="1" width="55"/>
  </cols>
  <sheetData>
    <row r="1" customFormat="false" ht="17.25" hidden="false" customHeight="true" outlineLevel="0" collapsed="false">
      <c r="A1" s="2" t="s">
        <v>350</v>
      </c>
    </row>
    <row r="3" customFormat="false" ht="15" hidden="false" customHeight="true" outlineLevel="0" collapsed="false">
      <c r="A3" s="6" t="s">
        <v>351</v>
      </c>
      <c r="B3" s="6" t="s">
        <v>352</v>
      </c>
      <c r="C3" s="6" t="s">
        <v>353</v>
      </c>
    </row>
    <row r="4" customFormat="false" ht="94.5" hidden="false" customHeight="true" outlineLevel="0" collapsed="false">
      <c r="A4" s="17" t="s">
        <v>324</v>
      </c>
      <c r="B4" s="13" t="s">
        <v>354</v>
      </c>
      <c r="C4" s="13" t="s">
        <v>355</v>
      </c>
    </row>
    <row r="5" customFormat="false" ht="94.5" hidden="false" customHeight="true" outlineLevel="0" collapsed="false">
      <c r="A5" s="17" t="s">
        <v>356</v>
      </c>
      <c r="B5" s="13" t="s">
        <v>357</v>
      </c>
      <c r="C5" s="13" t="s">
        <v>358</v>
      </c>
    </row>
    <row r="6" customFormat="false" ht="94.5" hidden="false" customHeight="true" outlineLevel="0" collapsed="false">
      <c r="A6" s="17" t="s">
        <v>359</v>
      </c>
      <c r="B6" s="13" t="s">
        <v>360</v>
      </c>
      <c r="C6" s="13" t="s">
        <v>361</v>
      </c>
    </row>
    <row r="7" customFormat="false" ht="94.5" hidden="false" customHeight="true" outlineLevel="0" collapsed="false">
      <c r="A7" s="17" t="s">
        <v>327</v>
      </c>
      <c r="B7" s="13" t="s">
        <v>362</v>
      </c>
      <c r="C7" s="13" t="s">
        <v>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20"/>
  </cols>
  <sheetData>
    <row r="1" customFormat="false" ht="17.25" hidden="false" customHeight="true" outlineLevel="0" collapsed="false">
      <c r="A1" s="2" t="s">
        <v>364</v>
      </c>
    </row>
    <row r="4" customFormat="false" ht="15" hidden="false" customHeight="true" outlineLevel="0" collapsed="false">
      <c r="A4" s="4" t="s">
        <v>365</v>
      </c>
      <c r="B4" s="19" t="n">
        <f aca="false">SUMIF(02_SKU_Sales_Data!$I$5:$I$54,"&lt;=20",02_SKU_Sales_Data!$F$5:$F$54)</f>
        <v>744962</v>
      </c>
    </row>
    <row r="5" customFormat="false" ht="15" hidden="false" customHeight="true" outlineLevel="0" collapsed="false">
      <c r="A5" s="4" t="s">
        <v>366</v>
      </c>
      <c r="B5" s="19" t="n">
        <f aca="false">B4/104</f>
        <v>7163.09615384615</v>
      </c>
    </row>
    <row r="6" customFormat="false" ht="15" hidden="false" customHeight="true" outlineLevel="0" collapsed="false">
      <c r="A6" s="4" t="s">
        <v>367</v>
      </c>
      <c r="B6" s="19" t="n">
        <f aca="false">03_Inputs_Assumptions!$B$6</f>
        <v>3</v>
      </c>
    </row>
    <row r="7" customFormat="false" ht="15" hidden="false" customHeight="true" outlineLevel="0" collapsed="false">
      <c r="A7" s="4" t="s">
        <v>368</v>
      </c>
      <c r="B7" s="19" t="n">
        <f aca="false">B5*B6</f>
        <v>21489.2884615385</v>
      </c>
    </row>
    <row r="8" customFormat="false" ht="15" hidden="false" customHeight="true" outlineLevel="0" collapsed="false">
      <c r="A8" s="4" t="s">
        <v>369</v>
      </c>
      <c r="B8" s="20" t="n">
        <f aca="false">AVERAGEIF(02_SKU_Sales_Data!$I$5:$I$54,"&lt;=20",02_SKU_Sales_Data!$D$5:$D$54)</f>
        <v>11.315</v>
      </c>
    </row>
    <row r="9" customFormat="false" ht="15" hidden="false" customHeight="true" outlineLevel="0" collapsed="false">
      <c r="A9" s="4" t="s">
        <v>370</v>
      </c>
      <c r="B9" s="16" t="n">
        <f aca="false">B7*B8</f>
        <v>243151.298942308</v>
      </c>
    </row>
    <row r="10" customFormat="false" ht="15" hidden="false" customHeight="true" outlineLevel="0" collapsed="false">
      <c r="A10" s="4" t="s">
        <v>371</v>
      </c>
      <c r="B10" s="18" t="n">
        <f aca="false">03_Inputs_Assumptions!$B$4</f>
        <v>0.12</v>
      </c>
    </row>
    <row r="11" customFormat="false" ht="15" hidden="false" customHeight="true" outlineLevel="0" collapsed="false">
      <c r="A11" s="4" t="s">
        <v>372</v>
      </c>
      <c r="B11" s="16" t="n">
        <f aca="false">B9*B10</f>
        <v>29178.1558730769</v>
      </c>
    </row>
    <row r="12" customFormat="false" ht="15" hidden="false" customHeight="true" outlineLevel="0" collapsed="false">
      <c r="A12" s="4" t="s">
        <v>373</v>
      </c>
      <c r="B12" s="18" t="n">
        <f aca="false">03_Inputs_Assumptions!$B$7</f>
        <v>0.15</v>
      </c>
    </row>
    <row r="13" customFormat="false" ht="15" hidden="false" customHeight="true" outlineLevel="0" collapsed="false">
      <c r="A13" s="4" t="s">
        <v>374</v>
      </c>
      <c r="B13" s="18" t="n">
        <f aca="false">03_Inputs_Assumptions!$B$8</f>
        <v>0.4</v>
      </c>
    </row>
    <row r="14" customFormat="false" ht="15" hidden="false" customHeight="true" outlineLevel="0" collapsed="false">
      <c r="A14" s="4" t="s">
        <v>375</v>
      </c>
      <c r="B14" s="20" t="n">
        <f aca="false">AVERAGEIF(02_SKU_Sales_Data!$I$5:$I$54,"&lt;=20",02_SKU_Sales_Data!$E$5:$E$54)</f>
        <v>37.363</v>
      </c>
    </row>
    <row r="15" customFormat="false" ht="15" hidden="false" customHeight="true" outlineLevel="0" collapsed="false">
      <c r="A15" s="4" t="s">
        <v>376</v>
      </c>
      <c r="B15" s="16" t="n">
        <f aca="false">B12*B7*B13*B14</f>
        <v>48174.2570873077</v>
      </c>
    </row>
    <row r="16" customFormat="false" ht="15" hidden="false" customHeight="true" outlineLevel="0" collapsed="false">
      <c r="A16" s="17" t="s">
        <v>377</v>
      </c>
      <c r="B16" s="16" t="n">
        <f aca="false">B11+B15</f>
        <v>77352.4129603846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20"/>
  </cols>
  <sheetData>
    <row r="1" customFormat="false" ht="17.25" hidden="false" customHeight="true" outlineLevel="0" collapsed="false">
      <c r="A1" s="2" t="s">
        <v>378</v>
      </c>
    </row>
    <row r="4" customFormat="false" ht="15" hidden="false" customHeight="true" outlineLevel="0" collapsed="false">
      <c r="A4" s="4" t="s">
        <v>379</v>
      </c>
      <c r="B4" s="19" t="n">
        <f aca="false">SUMIF(02_SKU_Sales_Data!$C$5:$C$54,"Bangladesh",02_SKU_Sales_Data!$F$5:$F$54)+SUMIF(02_SKU_Sales_Data!$C$5:$C$54,"Vietnam",02_SKU_Sales_Data!$F$5:$F$54)</f>
        <v>783770</v>
      </c>
    </row>
    <row r="5" customFormat="false" ht="15" hidden="false" customHeight="true" outlineLevel="0" collapsed="false">
      <c r="A5" s="4" t="s">
        <v>380</v>
      </c>
      <c r="B5" s="19" t="n">
        <f aca="false">B4/2</f>
        <v>391885</v>
      </c>
    </row>
    <row r="6" customFormat="false" ht="15" hidden="false" customHeight="true" outlineLevel="0" collapsed="false">
      <c r="A6" s="4" t="s">
        <v>381</v>
      </c>
      <c r="B6" s="18" t="n">
        <f aca="false">03_Inputs_Assumptions!$B$9</f>
        <v>0.3</v>
      </c>
    </row>
    <row r="7" customFormat="false" ht="15" hidden="false" customHeight="true" outlineLevel="0" collapsed="false">
      <c r="A7" s="4" t="s">
        <v>382</v>
      </c>
      <c r="B7" s="19" t="n">
        <f aca="false">B5*B6</f>
        <v>117565.5</v>
      </c>
    </row>
    <row r="8" customFormat="false" ht="15" hidden="false" customHeight="true" outlineLevel="0" collapsed="false">
      <c r="A8" s="4" t="s">
        <v>383</v>
      </c>
      <c r="B8" s="20" t="n">
        <f aca="false">AVERAGEIF(02_SKU_Sales_Data!$C$5:$C$54,"Turkey",02_SKU_Sales_Data!$D$5:$D$54)</f>
        <v>11.065</v>
      </c>
    </row>
    <row r="9" customFormat="false" ht="30" hidden="false" customHeight="true" outlineLevel="0" collapsed="false">
      <c r="A9" s="13" t="s">
        <v>384</v>
      </c>
      <c r="B9" s="20" t="n">
        <f aca="false">SUMPRODUCT(((02_SKU_Sales_Data!$C$5:$C$54="Bangladesh")+(02_SKU_Sales_Data!$C$5:$C$54="Vietnam")),02_SKU_Sales_Data!$D$5:$D$54)/SUMPRODUCT((02_SKU_Sales_Data!$C$5:$C$54="Bangladesh")+(02_SKU_Sales_Data!$C$5:$C$54="Vietnam"))</f>
        <v>9.7475</v>
      </c>
    </row>
    <row r="10" customFormat="false" ht="15" hidden="false" customHeight="true" outlineLevel="0" collapsed="false">
      <c r="A10" s="4" t="s">
        <v>385</v>
      </c>
      <c r="B10" s="18" t="n">
        <f aca="false">B8/B9-1</f>
        <v>0.135162862272378</v>
      </c>
    </row>
    <row r="11" customFormat="false" ht="15" hidden="false" customHeight="true" outlineLevel="0" collapsed="false">
      <c r="A11" s="17" t="s">
        <v>386</v>
      </c>
      <c r="B11" s="16" t="n">
        <f aca="false">B7*B10*B9</f>
        <v>154892.54625</v>
      </c>
    </row>
    <row r="12" customFormat="false" ht="15" hidden="false" customHeight="true" outlineLevel="0" collapsed="false">
      <c r="A12" s="4" t="s">
        <v>387</v>
      </c>
      <c r="B12" s="19" t="n">
        <f aca="false">03_Inputs_Assumptions!$B$12</f>
        <v>4</v>
      </c>
    </row>
    <row r="13" customFormat="false" ht="15" hidden="false" customHeight="true" outlineLevel="0" collapsed="false">
      <c r="A13" s="4" t="s">
        <v>388</v>
      </c>
      <c r="B13" s="16" t="n">
        <f aca="false">06_MonteCarlo_Simulation!$B$914</f>
        <v>1824052.55512455</v>
      </c>
    </row>
    <row r="14" customFormat="false" ht="15" hidden="false" customHeight="true" outlineLevel="0" collapsed="false">
      <c r="A14" s="4" t="s">
        <v>389</v>
      </c>
      <c r="B14" s="18" t="n">
        <f aca="false">03_Inputs_Assumptions!$B$10</f>
        <v>0.5</v>
      </c>
    </row>
    <row r="15" customFormat="false" ht="30" hidden="false" customHeight="true" outlineLevel="0" collapsed="false">
      <c r="A15" s="13" t="s">
        <v>390</v>
      </c>
      <c r="B15" s="16" t="n">
        <f aca="false">B12*B13/10*B14*B6</f>
        <v>109443.153307473</v>
      </c>
    </row>
    <row r="16" customFormat="false" ht="15" hidden="false" customHeight="true" outlineLevel="0" collapsed="false">
      <c r="A16" s="17" t="s">
        <v>391</v>
      </c>
      <c r="B16" s="16" t="n">
        <f aca="false">B15-B11</f>
        <v>-45449.3929425268</v>
      </c>
    </row>
    <row r="18" customFormat="false" ht="54.75" hidden="false" customHeight="true" outlineLevel="0" collapsed="false">
      <c r="A18" s="33" t="str">
        <f aca="false">"At the current assumption set, Option C's net annual economics = "&amp;TEXT(B16,"$#,##0")&amp;". True breakeven frequency = "&amp;TEXT(B11/(B13/10*B14*B6),"0.00")&amp;" events/decade. This is a LIVE formula — change the frequency or severity-reduction assumption in 03_Inputs_Assumptions and this recalculates."</f>
        <v>At the current assumption set, Option C's net annual economics = -$45,449. True breakeven frequency = 5.66 events/decade. This is a LIVE formula — change the frequency or severity-reduction assumption in 03_Inputs_Assumptions and this recalculates.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4" min="2" style="1" width="16"/>
    <col collapsed="false" customWidth="true" hidden="false" outlineLevel="0" max="5" min="5" style="1" width="18"/>
    <col collapsed="false" customWidth="true" hidden="false" outlineLevel="0" max="7" min="6" style="1" width="16"/>
  </cols>
  <sheetData>
    <row r="1" customFormat="false" ht="17.25" hidden="false" customHeight="true" outlineLevel="0" collapsed="false">
      <c r="A1" s="2" t="s">
        <v>392</v>
      </c>
    </row>
    <row r="2" customFormat="false" ht="15" hidden="false" customHeight="true" outlineLevel="0" collapsed="false">
      <c r="A2" s="4" t="s">
        <v>393</v>
      </c>
    </row>
    <row r="4" customFormat="false" ht="15" hidden="false" customHeight="true" outlineLevel="0" collapsed="false">
      <c r="A4" s="6" t="s">
        <v>394</v>
      </c>
      <c r="B4" s="6" t="s">
        <v>395</v>
      </c>
      <c r="C4" s="6" t="s">
        <v>396</v>
      </c>
      <c r="D4" s="6" t="s">
        <v>397</v>
      </c>
      <c r="E4" s="6" t="s">
        <v>398</v>
      </c>
      <c r="F4" s="6" t="s">
        <v>399</v>
      </c>
      <c r="G4" s="6" t="s">
        <v>400</v>
      </c>
    </row>
    <row r="5" customFormat="false" ht="15" hidden="false" customHeight="true" outlineLevel="0" collapsed="false">
      <c r="A5" s="4" t="s">
        <v>401</v>
      </c>
      <c r="B5" s="28" t="n">
        <f aca="false">1*11_Dual_Sourcing_Econ!$B$13/10*11_Dual_Sourcing_Econ!$B$14*11_Dual_Sourcing_Econ!$B$6</f>
        <v>27360.7883268683</v>
      </c>
      <c r="C5" s="28" t="n">
        <f aca="false">2*11_Dual_Sourcing_Econ!$B$13/10*11_Dual_Sourcing_Econ!$B$14*11_Dual_Sourcing_Econ!$B$6</f>
        <v>54721.5766537366</v>
      </c>
      <c r="D5" s="28" t="n">
        <f aca="false">4*11_Dual_Sourcing_Econ!$B$13/10*11_Dual_Sourcing_Econ!$B$14*11_Dual_Sourcing_Econ!$B$6</f>
        <v>109443.153307473</v>
      </c>
      <c r="E5" s="28" t="n">
        <f aca="false">6.5*11_Dual_Sourcing_Econ!$B$13/10*11_Dual_Sourcing_Econ!$B$14*11_Dual_Sourcing_Econ!$B$6</f>
        <v>177845.124124644</v>
      </c>
      <c r="F5" s="28" t="n">
        <f aca="false">8*11_Dual_Sourcing_Econ!$B$13/10*11_Dual_Sourcing_Econ!$B$14*11_Dual_Sourcing_Econ!$B$6</f>
        <v>218886.306614946</v>
      </c>
      <c r="G5" s="28" t="n">
        <f aca="false">10*11_Dual_Sourcing_Econ!$B$13/10*11_Dual_Sourcing_Econ!$B$14*11_Dual_Sourcing_Econ!$B$6</f>
        <v>273607.883268683</v>
      </c>
    </row>
    <row r="6" customFormat="false" ht="15" hidden="false" customHeight="true" outlineLevel="0" collapsed="false">
      <c r="A6" s="4" t="s">
        <v>402</v>
      </c>
      <c r="B6" s="28" t="n">
        <f aca="false">11_Dual_Sourcing_Econ!$B$11</f>
        <v>154892.54625</v>
      </c>
      <c r="C6" s="28" t="n">
        <f aca="false">11_Dual_Sourcing_Econ!$B$11</f>
        <v>154892.54625</v>
      </c>
      <c r="D6" s="28" t="n">
        <f aca="false">11_Dual_Sourcing_Econ!$B$11</f>
        <v>154892.54625</v>
      </c>
      <c r="E6" s="28" t="n">
        <f aca="false">11_Dual_Sourcing_Econ!$B$11</f>
        <v>154892.54625</v>
      </c>
      <c r="F6" s="28" t="n">
        <f aca="false">11_Dual_Sourcing_Econ!$B$11</f>
        <v>154892.54625</v>
      </c>
      <c r="G6" s="28" t="n">
        <f aca="false">11_Dual_Sourcing_Econ!$B$11</f>
        <v>154892.54625</v>
      </c>
    </row>
    <row r="7" customFormat="false" ht="15" hidden="false" customHeight="true" outlineLevel="0" collapsed="false">
      <c r="A7" s="17" t="s">
        <v>403</v>
      </c>
      <c r="B7" s="35" t="n">
        <f aca="false">B5-B6</f>
        <v>-127531.757923132</v>
      </c>
      <c r="C7" s="35" t="n">
        <f aca="false">C5-C6</f>
        <v>-100170.969596263</v>
      </c>
      <c r="D7" s="35" t="n">
        <f aca="false">D5-D6</f>
        <v>-45449.3929425268</v>
      </c>
      <c r="E7" s="35" t="n">
        <f aca="false">E5-E6</f>
        <v>22952.577874644</v>
      </c>
      <c r="F7" s="35" t="n">
        <f aca="false">F5-F6</f>
        <v>63993.7603649465</v>
      </c>
      <c r="G7" s="35" t="n">
        <f aca="false">G5-G6</f>
        <v>118715.337018683</v>
      </c>
    </row>
    <row r="9" customFormat="false" ht="69.75" hidden="false" customHeight="true" outlineLevel="0" collapsed="false">
      <c r="A9" s="33" t="str">
        <f aca="false">"TRUE BREAKEVEN (live formula) = "&amp;TEXT(11_Dual_Sourcing_Econ!$B$11/(11_Dual_Sourcing_Econ!$B$13/10*11_Dual_Sourcing_Econ!$B$14*11_Dual_Sourcing_Econ!$B$6),"0.00")&amp;" events/decade. Real-world observed rate (2021 pandemic congestion + 2024 Red Sea rerouting = 2 events/~5yr) is approximately 4/decade — below this breakeven under the current severity-reduction assumption, meaning Option C does not clear a pure financial ROI bar on its own; the case for it rests on concentration-risk and optionality value, not the spreadsheet's bottom line."</f>
        <v>TRUE BREAKEVEN (live formula) = 5.66 events/decade. Real-world observed rate (2021 pandemic congestion + 2024 Red Sea rerouting = 2 events/~5yr) is approximately 4/decade — below this breakeven under the current severity-reduction assumption, meaning Option C does not clear a pure financial ROI bar on its own; the case for it rests on concentration-risk and optionality value, not the spreadsheet's bottom line.</v>
      </c>
    </row>
  </sheetData>
  <conditionalFormatting sqref="B7:G7">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85"/>
  </cols>
  <sheetData>
    <row r="1" customFormat="false" ht="17.25" hidden="false" customHeight="true" outlineLevel="0" collapsed="false">
      <c r="A1" s="2" t="s">
        <v>404</v>
      </c>
    </row>
    <row r="3" customFormat="false" ht="150" hidden="false" customHeight="true" outlineLevel="0" collapsed="false">
      <c r="A3" s="34" t="s">
        <v>405</v>
      </c>
      <c r="B3" s="13" t="s">
        <v>406</v>
      </c>
    </row>
    <row r="4" customFormat="false" ht="150" hidden="false" customHeight="true" outlineLevel="0" collapsed="false">
      <c r="A4" s="34" t="s">
        <v>407</v>
      </c>
      <c r="B4" s="13" t="s">
        <v>408</v>
      </c>
    </row>
    <row r="5" customFormat="false" ht="150" hidden="false" customHeight="true" outlineLevel="0" collapsed="false">
      <c r="A5" s="34" t="s">
        <v>409</v>
      </c>
      <c r="B5" s="13" t="s">
        <v>410</v>
      </c>
    </row>
    <row r="6" customFormat="false" ht="150" hidden="false" customHeight="true" outlineLevel="0" collapsed="false">
      <c r="A6" s="34" t="s">
        <v>411</v>
      </c>
      <c r="B6" s="13" t="s">
        <v>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2026-09-18T11:04:49Z</dcterms:created>
  <dc:creator>openpyxl</dc:creator>
  <dc:description/>
  <dc:language>en-US</dc:language>
  <cp:lastModifiedBy/>
  <dcterms:modified xsi:type="dcterms:W3CDTF">2026-09-18T11:11:03Z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